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\cargo-flow-navigator\data\calculadora_piso_minimo\"/>
    </mc:Choice>
  </mc:AlternateContent>
  <xr:revisionPtr revIDLastSave="0" documentId="13_ncr:1_{2DA18764-B523-4C8D-9654-B292B00D51ED}" xr6:coauthVersionLast="47" xr6:coauthVersionMax="47" xr10:uidLastSave="{00000000-0000-0000-0000-000000000000}"/>
  <workbookProtection workbookAlgorithmName="SHA-512" workbookHashValue="F/PaaMCd2EkwmeZLLAPtn5jk8TzWBCEPn3mopTOZtoMl9DVgSwJwckFZok76uEHGCB6bwqvTFGuk3ZvumgAcLw==" workbookSaltValue="/2CuqSkTM1Rzjj7gfAcWqg==" workbookSpinCount="100000" lockStructure="1"/>
  <bookViews>
    <workbookView xWindow="-108" yWindow="-108" windowWidth="23256" windowHeight="12456" xr2:uid="{F9C62299-8075-42EA-BAF7-701033762BA8}"/>
  </bookViews>
  <sheets>
    <sheet name="Painel" sheetId="5" r:id="rId1"/>
    <sheet name="Dados" sheetId="1" state="hidden" r:id="rId2"/>
    <sheet name="Tabela A" sheetId="2" state="hidden" r:id="rId3"/>
    <sheet name="Tabela B" sheetId="3" state="hidden" r:id="rId4"/>
    <sheet name="Tabela C" sheetId="4" state="hidden" r:id="rId5"/>
    <sheet name="Tabela D" sheetId="6" state="hidden" r:id="rId6"/>
  </sheets>
  <definedNames>
    <definedName name="_xlnm.Print_Area" localSheetId="0">Painel!$A$1:$H$48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3" l="1"/>
  <c r="B1" i="4" s="1"/>
  <c r="B1" i="6" s="1"/>
  <c r="B11" i="1"/>
  <c r="D9" i="1"/>
  <c r="D13" i="1" s="1"/>
  <c r="F12" i="5" s="1"/>
  <c r="D18" i="1" s="1"/>
  <c r="F15" i="5" l="1"/>
  <c r="C19" i="1"/>
  <c r="E16" i="5" s="1"/>
  <c r="G7" i="1"/>
  <c r="D10" i="1"/>
  <c r="A1" i="5" s="1"/>
  <c r="E9" i="1"/>
  <c r="C20" i="1" s="1"/>
  <c r="D12" i="1" l="1"/>
  <c r="E12" i="5" s="1"/>
  <c r="E17" i="5"/>
  <c r="C15" i="1" l="1"/>
  <c r="E18" i="1"/>
  <c r="G12" i="5" s="1"/>
  <c r="C18" i="1"/>
  <c r="E15" i="5" s="1"/>
</calcChain>
</file>

<file path=xl/sharedStrings.xml><?xml version="1.0" encoding="utf-8"?>
<sst xmlns="http://schemas.openxmlformats.org/spreadsheetml/2006/main" count="228" uniqueCount="45">
  <si>
    <t>Tipo de carga</t>
  </si>
  <si>
    <t>Granel sólido</t>
  </si>
  <si>
    <t>Granel líquido</t>
  </si>
  <si>
    <t>Conteinerizada</t>
  </si>
  <si>
    <t>Carga Geral</t>
  </si>
  <si>
    <t>Neogranel</t>
  </si>
  <si>
    <t>Perigosa (granel sólido)</t>
  </si>
  <si>
    <t>Perigosa (granel líquido)</t>
  </si>
  <si>
    <t>Perigosa (conteinerizada)</t>
  </si>
  <si>
    <t>Perigosa (carga geral)</t>
  </si>
  <si>
    <t>Números de Eixos</t>
  </si>
  <si>
    <t>Carga Granel Pressurizada</t>
  </si>
  <si>
    <t>Carga e descarga (CC)</t>
  </si>
  <si>
    <t>Coeficiente de custo (CCD)</t>
  </si>
  <si>
    <t>CCD</t>
  </si>
  <si>
    <t>CC</t>
  </si>
  <si>
    <t>TABELA A – CARGA LOTAÇÃO</t>
  </si>
  <si>
    <t>TABELA B – CARGA LOTAÇÃO, APENAS CONTRATAÇÃO DO VEÍCULO</t>
  </si>
  <si>
    <t>TABELA C – CARRO DEDICADO</t>
  </si>
  <si>
    <t>TABELA D – CARRO DEDICADO, APENAS CONTRATAÇÃO DO VEÍCULO</t>
  </si>
  <si>
    <t>Para calcular o valor mínimo do frete a ser realizado, sugere-se seguir o seguinte roteiro:</t>
  </si>
  <si>
    <t>2. Na sequência, identifique a quantidade de eixos da composição veicular a ser utilizada no transporte;</t>
  </si>
  <si>
    <t>3. Depois, identifique os coeficientes de custo de deslocamento (CCD) e de carga e descarga (CC) para a quantidade de eixos carregados da composição veicular que será usada:</t>
  </si>
  <si>
    <t>PISO MINIMO DO FRETE (R$/viagem) = (DISTANCIA x CCD) + CC</t>
  </si>
  <si>
    <t>Se o transportador for contratado para usar apenas o seu próprio veículo automotor e for uma operação de transporte de alto desempenho, sendo o implemento rodoviário fornecido pelo contratante, usa-se a Tabela D do Anexo II da Resolução ANTT nº 5.867/2020.</t>
  </si>
  <si>
    <t>Posteriormente, verifique a distância a ser percorrida na operação de transporte contratada; e</t>
  </si>
  <si>
    <t>Por fim, use os valores obtidos nos passos anteriores na seguinte expressão para o cálculo do Piso Mínimo de Frete em Reais por viagem (R$/viagem):</t>
  </si>
  <si>
    <t>1. Defina primeiramente o tipo de carga a ser transportada, conforme opções apresentadas no Anexo II da Resolução ANTT nº 5.867/2020.</t>
  </si>
  <si>
    <t xml:space="preserve">        *Se o transportador for contratado para usar apenas o seu próprio veículo automotor, sendo o implemento rodoviário fornecido pelo contratante, usa-se a Tabela B do Anexo II da Resolução ANTT nº 5.867/2020.</t>
  </si>
  <si>
    <t xml:space="preserve">       *Se o transportador for contratado para usar seu próprio veículo automotor e implemento rodoviário, usa-se a Tabela A do Anexo II da Resolução ANTT nº 5.867/2020; ou</t>
  </si>
  <si>
    <t xml:space="preserve">       *Se o transportador for contratado para usar seu próprio veículo automotor e implemento rodoviário e for uma operação de transporte de alto desempenho, usa-se a Tabela C do Anexo II da Resolução ANTT nº 5.867/2020; ou</t>
  </si>
  <si>
    <t>COMO CALCULAR O PISO MÍNIMO</t>
  </si>
  <si>
    <r>
      <t xml:space="preserve">OBS.: Os valores, tais como tributos </t>
    </r>
    <r>
      <rPr>
        <b/>
        <sz val="11"/>
        <color theme="1"/>
        <rFont val="Calibri"/>
        <family val="2"/>
        <scheme val="minor"/>
      </rPr>
      <t>(IR, INSS, ICMS etc.)</t>
    </r>
    <r>
      <rPr>
        <sz val="11"/>
        <color theme="1"/>
        <rFont val="Calibri"/>
        <family val="2"/>
        <scheme val="minor"/>
      </rPr>
      <t>, bem como o lucro e demais despesas deverão ser consideradas caso a caso, pois dependem do perfil de cada transportador ou da operação de transporte, podendo ser adicionadas ao valor do piso mínimo, a depender de negociação entre as partes. O valor do pedágio, quando houver, deverá ser obrigatoriamente acrescido aos pisos mínimos, devendo o pagamento ser realizado na forma da Lei nº 10.209, de 23 de março de 2001, e regulamentação vigente.</t>
    </r>
  </si>
  <si>
    <t>-</t>
  </si>
  <si>
    <t>Frigorificada ou Aquecida</t>
  </si>
  <si>
    <t>Perigosa (frigorificada ou aquecida)</t>
  </si>
  <si>
    <t>NÃO</t>
  </si>
  <si>
    <t>SIM</t>
  </si>
  <si>
    <t>Carregado</t>
  </si>
  <si>
    <t>Total Carregado + Vazio:</t>
  </si>
  <si>
    <t>Valor por Ton: Carregado</t>
  </si>
  <si>
    <t>Valor por Ton: Vazio</t>
  </si>
  <si>
    <t>Retorno vazio</t>
  </si>
  <si>
    <t>RESOLUÇÃO Nº 6.076, DE 19 DE JANEIRO DE 2026</t>
  </si>
  <si>
    <r>
      <t xml:space="preserve">Piso Mínimo Frete de acordo com a 
</t>
    </r>
    <r>
      <rPr>
        <b/>
        <i/>
        <sz val="13"/>
        <color rgb="FF184682"/>
        <rFont val="Calibri"/>
        <family val="2"/>
        <scheme val="minor"/>
      </rPr>
      <t>RESOLUÇÃO Nº 6.076, DE 19 DE JANEIRO DE 2026.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</si>
</sst>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184682"/>
      <name val="Calibri"/>
      <family val="2"/>
      <scheme val="minor"/>
    </font>
    <font>
      <b/>
      <i/>
      <sz val="11"/>
      <color rgb="FF184682"/>
      <name val="Calibri"/>
      <family val="2"/>
      <scheme val="minor"/>
    </font>
    <font>
      <sz val="8"/>
      <color rgb="FF000000"/>
      <name val="Tahoma"/>
      <family val="2"/>
    </font>
    <font>
      <sz val="8"/>
      <color rgb="FF000000"/>
      <name val="Segoe UI"/>
      <family val="2"/>
    </font>
    <font>
      <sz val="11"/>
      <color rgb="FFFF0000"/>
      <name val="Calibri"/>
      <family val="2"/>
      <scheme val="minor"/>
    </font>
    <font>
      <sz val="11"/>
      <color rgb="FF18468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4"/>
      <color rgb="FF184682"/>
      <name val="Calibri"/>
      <family val="2"/>
      <scheme val="minor"/>
    </font>
    <font>
      <sz val="12"/>
      <color rgb="FF162937"/>
      <name val="Arial"/>
      <family val="2"/>
    </font>
    <font>
      <b/>
      <sz val="11"/>
      <color theme="0"/>
      <name val="Calibri"/>
      <family val="2"/>
      <scheme val="minor"/>
    </font>
    <font>
      <sz val="12"/>
      <color rgb="FF162937"/>
      <name val="Arial"/>
      <family val="2"/>
    </font>
    <font>
      <b/>
      <sz val="12"/>
      <color theme="0"/>
      <name val="Calibri"/>
      <family val="2"/>
      <scheme val="minor"/>
    </font>
    <font>
      <sz val="12"/>
      <color rgb="FF162937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162937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name val="Arial"/>
      <family val="2"/>
    </font>
    <font>
      <b/>
      <i/>
      <sz val="13"/>
      <color rgb="FF18468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184682"/>
        <bgColor indexed="64"/>
      </patternFill>
    </fill>
    <fill>
      <patternFill patternType="solid">
        <fgColor rgb="FFCF9E4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 tint="-0.14996795556505021"/>
      </top>
      <bottom/>
      <diagonal/>
    </border>
    <border>
      <left/>
      <right style="medium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13" fillId="0" borderId="0" xfId="0" applyFont="1"/>
    <xf numFmtId="0" fontId="12" fillId="0" borderId="0" xfId="0" applyFont="1"/>
    <xf numFmtId="164" fontId="7" fillId="0" borderId="0" xfId="1" applyNumberFormat="1" applyFont="1" applyFill="1" applyAlignment="1">
      <alignment vertical="center"/>
    </xf>
    <xf numFmtId="164" fontId="9" fillId="0" borderId="0" xfId="1" applyNumberFormat="1" applyFont="1" applyFill="1" applyAlignment="1">
      <alignment vertical="center"/>
    </xf>
    <xf numFmtId="0" fontId="5" fillId="0" borderId="0" xfId="0" applyFont="1" applyAlignment="1">
      <alignment horizontal="center"/>
    </xf>
    <xf numFmtId="0" fontId="14" fillId="10" borderId="0" xfId="0" applyFont="1" applyFill="1" applyAlignment="1">
      <alignment horizontal="center" vertical="center"/>
    </xf>
    <xf numFmtId="164" fontId="15" fillId="10" borderId="0" xfId="0" applyNumberFormat="1" applyFont="1" applyFill="1"/>
    <xf numFmtId="0" fontId="2" fillId="10" borderId="0" xfId="0" applyFont="1" applyFill="1"/>
    <xf numFmtId="164" fontId="19" fillId="0" borderId="0" xfId="1" applyNumberFormat="1" applyFont="1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164" fontId="17" fillId="8" borderId="0" xfId="1" applyNumberFormat="1" applyFont="1" applyFill="1" applyAlignment="1">
      <alignment horizontal="center" vertical="center"/>
    </xf>
    <xf numFmtId="164" fontId="18" fillId="11" borderId="0" xfId="1" applyNumberFormat="1" applyFont="1" applyFill="1" applyAlignment="1">
      <alignment horizontal="center" vertical="center"/>
    </xf>
    <xf numFmtId="0" fontId="20" fillId="0" borderId="0" xfId="0" applyFont="1" applyAlignment="1">
      <alignment vertical="center" wrapText="1"/>
    </xf>
    <xf numFmtId="164" fontId="21" fillId="0" borderId="0" xfId="1" applyNumberFormat="1" applyFont="1" applyFill="1" applyAlignment="1">
      <alignment vertical="center"/>
    </xf>
    <xf numFmtId="0" fontId="17" fillId="0" borderId="0" xfId="0" applyFont="1" applyAlignment="1">
      <alignment vertical="center"/>
    </xf>
    <xf numFmtId="0" fontId="18" fillId="10" borderId="0" xfId="0" applyFont="1" applyFill="1" applyAlignment="1">
      <alignment vertical="center"/>
    </xf>
    <xf numFmtId="164" fontId="22" fillId="0" borderId="0" xfId="1" applyNumberFormat="1" applyFont="1" applyFill="1" applyAlignment="1">
      <alignment vertical="center"/>
    </xf>
    <xf numFmtId="0" fontId="6" fillId="0" borderId="0" xfId="0" applyFont="1"/>
    <xf numFmtId="2" fontId="5" fillId="0" borderId="0" xfId="0" applyNumberFormat="1" applyFont="1" applyAlignment="1">
      <alignment horizontal="center" vertical="center"/>
    </xf>
    <xf numFmtId="2" fontId="17" fillId="8" borderId="0" xfId="1" applyNumberFormat="1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 wrapText="1"/>
    </xf>
    <xf numFmtId="0" fontId="28" fillId="2" borderId="0" xfId="0" applyFont="1" applyFill="1" applyAlignment="1">
      <alignment horizontal="left" vertical="center" wrapText="1"/>
    </xf>
    <xf numFmtId="0" fontId="28" fillId="2" borderId="0" xfId="0" applyFont="1" applyFill="1" applyAlignment="1">
      <alignment vertical="center" wrapText="1"/>
    </xf>
    <xf numFmtId="0" fontId="27" fillId="7" borderId="7" xfId="0" applyFont="1" applyFill="1" applyBorder="1" applyAlignment="1">
      <alignment horizontal="center" vertical="center" wrapText="1"/>
    </xf>
    <xf numFmtId="0" fontId="31" fillId="7" borderId="8" xfId="0" applyFont="1" applyFill="1" applyBorder="1" applyAlignment="1">
      <alignment horizontal="center" vertical="center" wrapText="1"/>
    </xf>
    <xf numFmtId="0" fontId="31" fillId="7" borderId="9" xfId="0" applyFont="1" applyFill="1" applyBorder="1" applyAlignment="1">
      <alignment horizontal="center" vertical="center" wrapText="1"/>
    </xf>
    <xf numFmtId="0" fontId="31" fillId="6" borderId="10" xfId="0" applyFont="1" applyFill="1" applyBorder="1" applyAlignment="1">
      <alignment horizontal="center" vertical="center" wrapText="1"/>
    </xf>
    <xf numFmtId="0" fontId="31" fillId="6" borderId="11" xfId="0" applyFont="1" applyFill="1" applyBorder="1" applyAlignment="1">
      <alignment horizontal="center" vertical="center" wrapText="1"/>
    </xf>
    <xf numFmtId="0" fontId="31" fillId="6" borderId="12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left" vertical="center" wrapText="1"/>
    </xf>
    <xf numFmtId="0" fontId="32" fillId="3" borderId="10" xfId="0" applyFont="1" applyFill="1" applyBorder="1" applyAlignment="1">
      <alignment horizontal="left" vertical="center" wrapText="1"/>
    </xf>
    <xf numFmtId="0" fontId="33" fillId="4" borderId="10" xfId="0" applyFont="1" applyFill="1" applyBorder="1" applyAlignment="1">
      <alignment horizontal="left" vertical="center" wrapText="1"/>
    </xf>
    <xf numFmtId="0" fontId="32" fillId="3" borderId="13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vertical="center" wrapText="1"/>
    </xf>
    <xf numFmtId="0" fontId="28" fillId="2" borderId="1" xfId="0" applyFont="1" applyFill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8" fillId="13" borderId="10" xfId="0" applyFont="1" applyFill="1" applyBorder="1" applyAlignment="1">
      <alignment horizontal="left" vertical="center" wrapText="1"/>
    </xf>
    <xf numFmtId="0" fontId="18" fillId="13" borderId="11" xfId="0" applyFont="1" applyFill="1" applyBorder="1" applyAlignment="1">
      <alignment horizontal="center" vertical="center" wrapText="1"/>
    </xf>
    <xf numFmtId="0" fontId="18" fillId="13" borderId="12" xfId="0" applyFont="1" applyFill="1" applyBorder="1" applyAlignment="1">
      <alignment horizontal="center" vertical="center" wrapText="1"/>
    </xf>
    <xf numFmtId="0" fontId="18" fillId="13" borderId="10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0" xfId="0" applyFont="1"/>
    <xf numFmtId="0" fontId="30" fillId="0" borderId="11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 wrapText="1"/>
    </xf>
    <xf numFmtId="0" fontId="30" fillId="0" borderId="14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32" fillId="0" borderId="10" xfId="0" applyFont="1" applyBorder="1" applyAlignment="1">
      <alignment horizontal="left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left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2" xfId="0" applyBorder="1"/>
    <xf numFmtId="0" fontId="4" fillId="0" borderId="24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2" fontId="33" fillId="4" borderId="11" xfId="0" applyNumberFormat="1" applyFont="1" applyFill="1" applyBorder="1" applyAlignment="1">
      <alignment horizontal="center" vertical="center" wrapText="1"/>
    </xf>
    <xf numFmtId="2" fontId="32" fillId="3" borderId="11" xfId="0" applyNumberFormat="1" applyFont="1" applyFill="1" applyBorder="1" applyAlignment="1">
      <alignment horizontal="center" vertical="center" wrapText="1"/>
    </xf>
    <xf numFmtId="2" fontId="32" fillId="2" borderId="10" xfId="0" applyNumberFormat="1" applyFont="1" applyFill="1" applyBorder="1" applyAlignment="1">
      <alignment horizontal="center" vertical="center" wrapText="1"/>
    </xf>
    <xf numFmtId="2" fontId="32" fillId="2" borderId="11" xfId="0" applyNumberFormat="1" applyFont="1" applyFill="1" applyBorder="1" applyAlignment="1">
      <alignment horizontal="center" vertical="center" wrapText="1"/>
    </xf>
    <xf numFmtId="2" fontId="32" fillId="2" borderId="12" xfId="0" applyNumberFormat="1" applyFont="1" applyFill="1" applyBorder="1" applyAlignment="1">
      <alignment horizontal="center" vertical="center" wrapText="1"/>
    </xf>
    <xf numFmtId="2" fontId="32" fillId="3" borderId="12" xfId="0" applyNumberFormat="1" applyFont="1" applyFill="1" applyBorder="1" applyAlignment="1">
      <alignment horizontal="center" vertical="center" wrapText="1"/>
    </xf>
    <xf numFmtId="2" fontId="33" fillId="4" borderId="12" xfId="0" applyNumberFormat="1" applyFont="1" applyFill="1" applyBorder="1" applyAlignment="1">
      <alignment horizontal="center" vertical="center" wrapText="1"/>
    </xf>
    <xf numFmtId="2" fontId="32" fillId="3" borderId="14" xfId="0" applyNumberFormat="1" applyFont="1" applyFill="1" applyBorder="1" applyAlignment="1">
      <alignment horizontal="center" vertical="center" wrapText="1"/>
    </xf>
    <xf numFmtId="2" fontId="32" fillId="3" borderId="15" xfId="0" applyNumberFormat="1" applyFont="1" applyFill="1" applyBorder="1" applyAlignment="1">
      <alignment horizontal="center" vertical="center" wrapText="1"/>
    </xf>
    <xf numFmtId="2" fontId="32" fillId="3" borderId="10" xfId="0" applyNumberFormat="1" applyFont="1" applyFill="1" applyBorder="1" applyAlignment="1">
      <alignment horizontal="center" vertical="center" wrapText="1"/>
    </xf>
    <xf numFmtId="2" fontId="33" fillId="4" borderId="10" xfId="0" applyNumberFormat="1" applyFont="1" applyFill="1" applyBorder="1" applyAlignment="1">
      <alignment horizontal="center" vertical="center" wrapText="1"/>
    </xf>
    <xf numFmtId="2" fontId="32" fillId="3" borderId="1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0" fillId="0" borderId="0" xfId="0" applyAlignment="1">
      <alignment horizontal="left" vertical="justify" wrapText="1"/>
    </xf>
    <xf numFmtId="0" fontId="0" fillId="0" borderId="0" xfId="0" applyAlignment="1">
      <alignment horizontal="justify" wrapText="1"/>
    </xf>
    <xf numFmtId="0" fontId="25" fillId="0" borderId="0" xfId="0" applyFont="1" applyAlignment="1">
      <alignment horizontal="center" vertical="top" wrapText="1"/>
    </xf>
    <xf numFmtId="0" fontId="6" fillId="9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8" fillId="5" borderId="0" xfId="0" applyFont="1" applyFill="1" applyAlignment="1" applyProtection="1">
      <alignment horizontal="center" vertical="center"/>
      <protection locked="0"/>
    </xf>
    <xf numFmtId="0" fontId="24" fillId="0" borderId="0" xfId="0" applyFont="1" applyAlignment="1">
      <alignment horizontal="center" vertical="center" wrapText="1"/>
    </xf>
    <xf numFmtId="0" fontId="16" fillId="10" borderId="0" xfId="0" applyFont="1" applyFill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3" fillId="12" borderId="0" xfId="0" applyFont="1" applyFill="1" applyAlignment="1">
      <alignment horizontal="center" vertical="center"/>
    </xf>
    <xf numFmtId="0" fontId="23" fillId="12" borderId="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3" fillId="12" borderId="22" xfId="0" applyFont="1" applyFill="1" applyBorder="1" applyAlignment="1">
      <alignment horizontal="center" vertical="center"/>
    </xf>
    <xf numFmtId="0" fontId="23" fillId="12" borderId="23" xfId="0" applyFont="1" applyFill="1" applyBorder="1" applyAlignment="1">
      <alignment horizontal="center" vertical="center"/>
    </xf>
    <xf numFmtId="0" fontId="23" fillId="12" borderId="21" xfId="0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3" fillId="12" borderId="3" xfId="0" applyFont="1" applyFill="1" applyBorder="1" applyAlignment="1">
      <alignment horizontal="center" vertical="center"/>
    </xf>
    <xf numFmtId="0" fontId="23" fillId="12" borderId="4" xfId="0" applyFont="1" applyFill="1" applyBorder="1" applyAlignment="1">
      <alignment horizontal="center" vertical="center"/>
    </xf>
    <xf numFmtId="0" fontId="23" fillId="12" borderId="5" xfId="0" applyFont="1" applyFill="1" applyBorder="1" applyAlignment="1">
      <alignment horizontal="center" vertical="center"/>
    </xf>
    <xf numFmtId="0" fontId="34" fillId="0" borderId="18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5EAEEE71-A9E3-4DDD-9F93-60F7B93C3705}"/>
  </tableStyles>
  <colors>
    <mruColors>
      <color rgb="FF184682"/>
      <color rgb="FFD9D9D9"/>
      <color rgb="FFCF9E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22" fmlaLink="Dados!$C$9" fmlaRange="Dados!$A$2:$A$13" noThreeD="1" sel="5" val="4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ctrlProps/ctrlProp4.xml><?xml version="1.0" encoding="utf-8"?>
<formControlPr xmlns="http://schemas.microsoft.com/office/spreadsheetml/2009/9/main" objectType="Radio" checked="Checked" firstButton="1" fmlaLink="Dados!$C$8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Drop" dropStyle="combo" dx="22" fmlaLink="Dados!$C$10" fmlaRange="Dados!$B$2:$B$8" sel="4" val="0"/>
</file>

<file path=xl/ctrlProps/ctrlProp9.xml><?xml version="1.0" encoding="utf-8"?>
<formControlPr xmlns="http://schemas.microsoft.com/office/spreadsheetml/2009/9/main" objectType="GBox" noThreeD="1"/>
</file>

<file path=xl/ctrlProps/ctrlProp10.xml><?xml version="1.0" encoding="utf-8"?>
<formControlPr xmlns="http://schemas.microsoft.com/office/spreadsheetml/2009/9/main" objectType="GBox" noThreeD="1"/>
</file>

<file path=xl/ctrlProps/ctrlProp11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380999</xdr:colOff>
          <xdr:row>7</xdr:row>
          <xdr:rowOff>93663</xdr:rowOff>
        </xdr:from>
        <xdr:to>
          <xdr:col>3</xdr:col>
          <xdr:colOff>257436</xdr:colOff>
          <xdr:row>9</xdr:row>
          <xdr:rowOff>158751</xdr:rowOff>
        </xdr:to>
        <xdr:grpSp>
          <xdr:nvGrpSpPr>
            <xdr:cNvPr id="4" name="Agrupar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380999" y="1268413"/>
              <a:ext cx="1705237" cy="439738"/>
              <a:chOff x="381000" y="1482726"/>
              <a:chExt cx="1666875" cy="446088"/>
            </a:xfrm>
          </xdr:grpSpPr>
          <xdr:sp macro="" textlink="">
            <xdr:nvSpPr>
              <xdr:cNvPr id="1025" name="Drop Down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477407" y="1631951"/>
                <a:ext cx="147600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6" name="Group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381000" y="1482726"/>
                <a:ext cx="1666875" cy="44608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22860" rIns="0" bIns="0" anchor="t" upright="1"/>
              <a:lstStyle/>
              <a:p>
                <a:pPr algn="l" rtl="0">
                  <a:defRPr sz="1000"/>
                </a:pPr>
                <a:r>
                  <a:rPr lang="pt-B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Tipo de carga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87314</xdr:colOff>
          <xdr:row>2</xdr:row>
          <xdr:rowOff>115882</xdr:rowOff>
        </xdr:from>
        <xdr:to>
          <xdr:col>7</xdr:col>
          <xdr:colOff>785813</xdr:colOff>
          <xdr:row>6</xdr:row>
          <xdr:rowOff>153982</xdr:rowOff>
        </xdr:to>
        <xdr:grpSp>
          <xdr:nvGrpSpPr>
            <xdr:cNvPr id="2" name="Agrupar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pSpPr/>
          </xdr:nvGrpSpPr>
          <xdr:grpSpPr>
            <a:xfrm>
              <a:off x="87314" y="442272"/>
              <a:ext cx="6327139" cy="702310"/>
              <a:chOff x="87314" y="1235070"/>
              <a:chExt cx="5929312" cy="800100"/>
            </a:xfrm>
          </xdr:grpSpPr>
          <xdr:sp macro="" textlink="">
            <xdr:nvSpPr>
              <xdr:cNvPr id="1028" name="Group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87314" y="1235070"/>
                <a:ext cx="5929312" cy="80010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22860" rIns="0" bIns="0" anchor="t" upright="1"/>
              <a:lstStyle/>
              <a:p>
                <a:pPr algn="l" rtl="0">
                  <a:defRPr sz="1000"/>
                </a:pPr>
                <a:r>
                  <a:rPr lang="pt-B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TIPO DE TABELA</a:t>
                </a:r>
              </a:p>
            </xdr:txBody>
          </xdr:sp>
          <xdr:sp macro="" textlink="">
            <xdr:nvSpPr>
              <xdr:cNvPr id="1030" name="Option Button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360844" y="1395406"/>
                <a:ext cx="1944000" cy="247650"/>
              </a:xfrm>
              <a:prstGeom prst="rect">
                <a:avLst/>
              </a:prstGeom>
              <a:solidFill>
                <a:srgbClr val="CF9E4D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pt-B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 – Carga Lotação</a:t>
                </a:r>
              </a:p>
            </xdr:txBody>
          </xdr:sp>
          <xdr:sp macro="" textlink="">
            <xdr:nvSpPr>
              <xdr:cNvPr id="1031" name="Option Button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2335983" y="1395405"/>
                <a:ext cx="3384000" cy="247650"/>
              </a:xfrm>
              <a:prstGeom prst="rect">
                <a:avLst/>
              </a:prstGeom>
              <a:solidFill>
                <a:srgbClr val="C6D9F0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pt-B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B – Carga lotação, apenas contratação do veículo</a:t>
                </a:r>
              </a:p>
            </xdr:txBody>
          </xdr:sp>
          <xdr:sp macro="" textlink="">
            <xdr:nvSpPr>
              <xdr:cNvPr id="1032" name="Option Button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360844" y="1671630"/>
                <a:ext cx="1944000" cy="247650"/>
              </a:xfrm>
              <a:prstGeom prst="rect">
                <a:avLst/>
              </a:prstGeom>
              <a:solidFill>
                <a:srgbClr val="C6D9F0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pt-B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 – Carro dedicado (alto desempenho)</a:t>
                </a:r>
              </a:p>
            </xdr:txBody>
          </xdr:sp>
          <xdr:sp macro="" textlink="">
            <xdr:nvSpPr>
              <xdr:cNvPr id="1033" name="Option Button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2335983" y="1671630"/>
                <a:ext cx="3384000" cy="247650"/>
              </a:xfrm>
              <a:prstGeom prst="rect">
                <a:avLst/>
              </a:prstGeom>
              <a:solidFill>
                <a:srgbClr val="CF9E4D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pt-B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D – Carro dedicado, apenas contratação do veículo (alto desempenho)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198120</xdr:colOff>
          <xdr:row>10</xdr:row>
          <xdr:rowOff>83820</xdr:rowOff>
        </xdr:from>
        <xdr:to>
          <xdr:col>2</xdr:col>
          <xdr:colOff>175260</xdr:colOff>
          <xdr:row>11</xdr:row>
          <xdr:rowOff>45720</xdr:rowOff>
        </xdr:to>
        <xdr:sp macro="" textlink="">
          <xdr:nvSpPr>
            <xdr:cNvPr id="1035" name="Drop Dow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373380</xdr:colOff>
          <xdr:row>9</xdr:row>
          <xdr:rowOff>228600</xdr:rowOff>
        </xdr:from>
        <xdr:to>
          <xdr:col>3</xdr:col>
          <xdr:colOff>251460</xdr:colOff>
          <xdr:row>11</xdr:row>
          <xdr:rowOff>144780</xdr:rowOff>
        </xdr:to>
        <xdr:sp macro="" textlink="">
          <xdr:nvSpPr>
            <xdr:cNvPr id="1036" name="Group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Escolha o número de eixos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381000</xdr:colOff>
          <xdr:row>12</xdr:row>
          <xdr:rowOff>22860</xdr:rowOff>
        </xdr:from>
        <xdr:to>
          <xdr:col>3</xdr:col>
          <xdr:colOff>259080</xdr:colOff>
          <xdr:row>14</xdr:row>
          <xdr:rowOff>76200</xdr:rowOff>
        </xdr:to>
        <xdr:sp macro="" textlink="">
          <xdr:nvSpPr>
            <xdr:cNvPr id="1040" name="Group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Digite quantos km foram rodados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381000</xdr:colOff>
          <xdr:row>14</xdr:row>
          <xdr:rowOff>190500</xdr:rowOff>
        </xdr:from>
        <xdr:to>
          <xdr:col>3</xdr:col>
          <xdr:colOff>259080</xdr:colOff>
          <xdr:row>16</xdr:row>
          <xdr:rowOff>68580</xdr:rowOff>
        </xdr:to>
        <xdr:sp macro="" textlink="">
          <xdr:nvSpPr>
            <xdr:cNvPr id="1052" name="Group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Digite Carga transportada (TON):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0EA4-E335-4643-A3D4-086428F997EA}">
  <sheetPr codeName="Planilha1">
    <pageSetUpPr fitToPage="1"/>
  </sheetPr>
  <dimension ref="A1:L49"/>
  <sheetViews>
    <sheetView showGridLines="0" tabSelected="1" zoomScale="120" zoomScaleNormal="120" workbookViewId="0">
      <selection activeCell="K15" sqref="K15"/>
    </sheetView>
  </sheetViews>
  <sheetFormatPr defaultRowHeight="14.4" x14ac:dyDescent="0.3"/>
  <cols>
    <col min="5" max="5" width="21.109375" customWidth="1"/>
    <col min="6" max="6" width="16.88671875" customWidth="1"/>
    <col min="8" max="8" width="11.109375" customWidth="1"/>
  </cols>
  <sheetData>
    <row r="1" spans="1:12" ht="15" customHeight="1" x14ac:dyDescent="0.3">
      <c r="A1" s="108" t="str">
        <f>"CALCULADORA DO PISO MÍNIMO DE FRETE 
 "&amp;Dados!D10&amp;""</f>
        <v>CALCULADORA DO PISO MÍNIMO DE FRETE 
 TABELA A – CARGA LOTAÇÃO</v>
      </c>
      <c r="B1" s="108"/>
      <c r="C1" s="108"/>
      <c r="D1" s="108"/>
      <c r="E1" s="108"/>
      <c r="F1" s="108"/>
      <c r="G1" s="108"/>
      <c r="H1" s="108"/>
      <c r="I1" s="6"/>
    </row>
    <row r="2" spans="1:12" ht="12.75" customHeight="1" x14ac:dyDescent="0.3">
      <c r="A2" s="108"/>
      <c r="B2" s="108"/>
      <c r="C2" s="108"/>
      <c r="D2" s="108"/>
      <c r="E2" s="108"/>
      <c r="F2" s="108"/>
      <c r="G2" s="108"/>
      <c r="H2" s="108"/>
      <c r="I2" s="6"/>
    </row>
    <row r="3" spans="1:12" ht="7.5" customHeight="1" x14ac:dyDescent="0.3"/>
    <row r="5" spans="1:12" x14ac:dyDescent="0.3">
      <c r="H5" s="9"/>
      <c r="I5" s="9"/>
      <c r="J5" s="9"/>
      <c r="K5" s="9"/>
      <c r="L5" s="9"/>
    </row>
    <row r="6" spans="1:12" x14ac:dyDescent="0.3">
      <c r="H6" s="9"/>
      <c r="I6" s="9"/>
      <c r="J6" s="9"/>
      <c r="K6" s="9"/>
      <c r="L6" s="9"/>
    </row>
    <row r="7" spans="1:12" x14ac:dyDescent="0.3">
      <c r="H7" s="9"/>
      <c r="I7" s="9"/>
      <c r="J7" s="9"/>
      <c r="K7" s="9"/>
      <c r="L7" s="9"/>
    </row>
    <row r="8" spans="1:12" ht="15" customHeight="1" x14ac:dyDescent="0.3">
      <c r="E8" s="107" t="s">
        <v>44</v>
      </c>
      <c r="F8" s="107"/>
      <c r="G8" s="107"/>
      <c r="H8" s="107"/>
      <c r="I8" s="9"/>
      <c r="J8" s="9"/>
      <c r="K8" s="9"/>
      <c r="L8" s="9"/>
    </row>
    <row r="9" spans="1:12" x14ac:dyDescent="0.3">
      <c r="E9" s="107"/>
      <c r="F9" s="107"/>
      <c r="G9" s="107"/>
      <c r="H9" s="107"/>
      <c r="I9" s="9"/>
      <c r="J9" s="9"/>
      <c r="K9" s="9"/>
      <c r="L9" s="9"/>
    </row>
    <row r="10" spans="1:12" ht="21" customHeight="1" x14ac:dyDescent="0.3">
      <c r="E10" s="107"/>
      <c r="F10" s="107"/>
      <c r="G10" s="107"/>
      <c r="H10" s="107"/>
      <c r="I10" s="9"/>
      <c r="J10" s="9"/>
      <c r="K10" s="9"/>
      <c r="L10" s="9"/>
    </row>
    <row r="11" spans="1:12" ht="19.5" customHeight="1" x14ac:dyDescent="0.3">
      <c r="E11" s="17" t="s">
        <v>38</v>
      </c>
      <c r="F11" s="17" t="s">
        <v>42</v>
      </c>
      <c r="G11" s="113" t="s">
        <v>39</v>
      </c>
      <c r="H11" s="113"/>
      <c r="I11" s="9"/>
      <c r="J11" s="9"/>
      <c r="K11" s="9"/>
      <c r="L11" s="9"/>
    </row>
    <row r="12" spans="1:12" ht="24.75" customHeight="1" x14ac:dyDescent="0.3">
      <c r="E12" s="19">
        <f>IF(ISERROR(Dados!D12),"Não existe dados",Dados!D12)</f>
        <v>6795.4800000000005</v>
      </c>
      <c r="F12" s="20">
        <f>IF(ISERROR(Dados!D13),"Não existe dados",Dados!D13)</f>
        <v>5667.5680000000011</v>
      </c>
      <c r="G12" s="24" t="str">
        <f>IF(ISERROR(Dados!$E$18),"",Dados!E$18)</f>
        <v>=      R$ 12.463,05</v>
      </c>
      <c r="H12" s="18"/>
      <c r="I12" s="9"/>
      <c r="J12" s="9"/>
      <c r="K12" s="9"/>
      <c r="L12" s="9"/>
    </row>
    <row r="13" spans="1:12" ht="12" customHeight="1" x14ac:dyDescent="0.3">
      <c r="I13" s="9"/>
      <c r="J13" s="9"/>
      <c r="K13" s="9"/>
      <c r="L13" s="9"/>
    </row>
    <row r="14" spans="1:12" ht="19.5" customHeight="1" x14ac:dyDescent="0.3">
      <c r="B14" s="112">
        <v>1000</v>
      </c>
      <c r="C14" s="112"/>
      <c r="E14" s="21" t="s">
        <v>40</v>
      </c>
      <c r="F14" s="21" t="s">
        <v>41</v>
      </c>
      <c r="I14" s="9"/>
      <c r="J14" s="9"/>
      <c r="K14" s="9"/>
      <c r="L14" s="9"/>
    </row>
    <row r="15" spans="1:12" ht="24.75" customHeight="1" x14ac:dyDescent="0.3">
      <c r="E15" s="28">
        <f>IF(ISERROR(Dados!$C$18),"",Dados!C18)</f>
        <v>339.774</v>
      </c>
      <c r="F15" s="20">
        <f>IF(ISERROR(Dados!$D$18),"",Dados!D18)</f>
        <v>283.37840000000006</v>
      </c>
      <c r="G15" s="11"/>
      <c r="H15" s="9"/>
      <c r="I15" s="5"/>
      <c r="J15" s="9"/>
      <c r="K15" s="9"/>
      <c r="L15" s="9"/>
    </row>
    <row r="16" spans="1:12" ht="21" customHeight="1" x14ac:dyDescent="0.3">
      <c r="B16" s="114">
        <v>20</v>
      </c>
      <c r="C16" s="114"/>
      <c r="E16" s="12" t="str">
        <f>IF(ISERROR(Dados!$C$19),"",Dados!C19)</f>
        <v>Coeficiente de custo (CCD) = R$ 6,1604</v>
      </c>
      <c r="F16" s="13"/>
      <c r="G16" s="5"/>
      <c r="H16" s="5"/>
      <c r="I16" s="5"/>
    </row>
    <row r="17" spans="1:9" ht="15.75" customHeight="1" x14ac:dyDescent="0.3">
      <c r="C17" s="23"/>
      <c r="E17" s="22" t="str">
        <f>IF(ISERROR(Dados!$C$20),"",Dados!C20)</f>
        <v>Carga e descarga (CC) = R$ 635,08</v>
      </c>
      <c r="I17" s="5"/>
    </row>
    <row r="18" spans="1:9" ht="9.75" customHeight="1" x14ac:dyDescent="0.3">
      <c r="I18" s="5"/>
    </row>
    <row r="19" spans="1:9" x14ac:dyDescent="0.3">
      <c r="A19" s="7" t="s">
        <v>31</v>
      </c>
      <c r="B19" s="7"/>
      <c r="C19" s="7"/>
      <c r="D19" s="7"/>
      <c r="I19" s="5"/>
    </row>
    <row r="20" spans="1:9" ht="5.25" customHeight="1" x14ac:dyDescent="0.3">
      <c r="E20" s="5"/>
      <c r="F20" s="5"/>
      <c r="G20" s="5"/>
      <c r="H20" s="5"/>
      <c r="I20" s="5"/>
    </row>
    <row r="21" spans="1:9" x14ac:dyDescent="0.3">
      <c r="A21" t="s">
        <v>20</v>
      </c>
    </row>
    <row r="22" spans="1:9" x14ac:dyDescent="0.3">
      <c r="A22" s="110" t="s">
        <v>27</v>
      </c>
      <c r="B22" s="110"/>
      <c r="C22" s="110"/>
      <c r="D22" s="110"/>
      <c r="E22" s="110"/>
      <c r="F22" s="110"/>
      <c r="G22" s="110"/>
      <c r="H22" s="110"/>
    </row>
    <row r="23" spans="1:9" ht="18" customHeight="1" x14ac:dyDescent="0.3">
      <c r="A23" s="110"/>
      <c r="B23" s="110"/>
      <c r="C23" s="110"/>
      <c r="D23" s="110"/>
      <c r="E23" s="110"/>
      <c r="F23" s="110"/>
      <c r="G23" s="110"/>
      <c r="H23" s="110"/>
    </row>
    <row r="24" spans="1:9" ht="15.75" customHeight="1" x14ac:dyDescent="0.3">
      <c r="A24" s="111" t="s">
        <v>21</v>
      </c>
      <c r="B24" s="111"/>
      <c r="C24" s="111"/>
      <c r="D24" s="111"/>
      <c r="E24" s="111"/>
      <c r="F24" s="111"/>
      <c r="G24" s="111"/>
      <c r="H24" s="111"/>
    </row>
    <row r="25" spans="1:9" ht="17.25" customHeight="1" x14ac:dyDescent="0.3">
      <c r="A25" s="105" t="s">
        <v>22</v>
      </c>
      <c r="B25" s="105"/>
      <c r="C25" s="105"/>
      <c r="D25" s="105"/>
      <c r="E25" s="105"/>
      <c r="F25" s="105"/>
      <c r="G25" s="105"/>
      <c r="H25" s="105"/>
    </row>
    <row r="26" spans="1:9" x14ac:dyDescent="0.3">
      <c r="A26" s="105"/>
      <c r="B26" s="105"/>
      <c r="C26" s="105"/>
      <c r="D26" s="105"/>
      <c r="E26" s="105"/>
      <c r="F26" s="105"/>
      <c r="G26" s="105"/>
      <c r="H26" s="105"/>
    </row>
    <row r="27" spans="1:9" x14ac:dyDescent="0.3">
      <c r="A27" s="106" t="s">
        <v>29</v>
      </c>
      <c r="B27" s="106"/>
      <c r="C27" s="106"/>
      <c r="D27" s="106"/>
      <c r="E27" s="106"/>
      <c r="F27" s="106"/>
      <c r="G27" s="106"/>
      <c r="H27" s="106"/>
    </row>
    <row r="28" spans="1:9" ht="15.75" customHeight="1" x14ac:dyDescent="0.3">
      <c r="A28" s="106"/>
      <c r="B28" s="106"/>
      <c r="C28" s="106"/>
      <c r="D28" s="106"/>
      <c r="E28" s="106"/>
      <c r="F28" s="106"/>
      <c r="G28" s="106"/>
      <c r="H28" s="106"/>
    </row>
    <row r="29" spans="1:9" ht="17.25" customHeight="1" x14ac:dyDescent="0.3">
      <c r="A29" s="106" t="s">
        <v>28</v>
      </c>
      <c r="B29" s="106"/>
      <c r="C29" s="106"/>
      <c r="D29" s="106"/>
      <c r="E29" s="106"/>
      <c r="F29" s="106"/>
      <c r="G29" s="106"/>
      <c r="H29" s="106"/>
    </row>
    <row r="30" spans="1:9" x14ac:dyDescent="0.3">
      <c r="A30" s="106"/>
      <c r="B30" s="106"/>
      <c r="C30" s="106"/>
      <c r="D30" s="106"/>
      <c r="E30" s="106"/>
      <c r="F30" s="106"/>
      <c r="G30" s="106"/>
      <c r="H30" s="106"/>
    </row>
    <row r="31" spans="1:9" ht="19.5" customHeight="1" x14ac:dyDescent="0.3">
      <c r="A31" s="106"/>
      <c r="B31" s="106"/>
      <c r="C31" s="106"/>
      <c r="D31" s="106"/>
      <c r="E31" s="106"/>
      <c r="F31" s="106"/>
      <c r="G31" s="106"/>
      <c r="H31" s="106"/>
    </row>
    <row r="32" spans="1:9" ht="15" customHeight="1" x14ac:dyDescent="0.3">
      <c r="A32" s="106" t="s">
        <v>30</v>
      </c>
      <c r="B32" s="106"/>
      <c r="C32" s="106"/>
      <c r="D32" s="106"/>
      <c r="E32" s="106"/>
      <c r="F32" s="106"/>
      <c r="G32" s="106"/>
      <c r="H32" s="106"/>
    </row>
    <row r="33" spans="1:8" x14ac:dyDescent="0.3">
      <c r="A33" s="106"/>
      <c r="B33" s="106"/>
      <c r="C33" s="106"/>
      <c r="D33" s="106"/>
      <c r="E33" s="106"/>
      <c r="F33" s="106"/>
      <c r="G33" s="106"/>
      <c r="H33" s="106"/>
    </row>
    <row r="34" spans="1:8" ht="20.25" customHeight="1" x14ac:dyDescent="0.3">
      <c r="A34" s="106"/>
      <c r="B34" s="106"/>
      <c r="C34" s="106"/>
      <c r="D34" s="106"/>
      <c r="E34" s="106"/>
      <c r="F34" s="106"/>
      <c r="G34" s="106"/>
      <c r="H34" s="106"/>
    </row>
    <row r="35" spans="1:8" ht="15" customHeight="1" x14ac:dyDescent="0.3">
      <c r="A35" s="106" t="s">
        <v>24</v>
      </c>
      <c r="B35" s="106"/>
      <c r="C35" s="106"/>
      <c r="D35" s="106"/>
      <c r="E35" s="106"/>
      <c r="F35" s="106"/>
      <c r="G35" s="106"/>
      <c r="H35" s="106"/>
    </row>
    <row r="36" spans="1:8" x14ac:dyDescent="0.3">
      <c r="A36" s="106"/>
      <c r="B36" s="106"/>
      <c r="C36" s="106"/>
      <c r="D36" s="106"/>
      <c r="E36" s="106"/>
      <c r="F36" s="106"/>
      <c r="G36" s="106"/>
      <c r="H36" s="106"/>
    </row>
    <row r="37" spans="1:8" ht="18.75" customHeight="1" x14ac:dyDescent="0.3">
      <c r="A37" s="106"/>
      <c r="B37" s="106"/>
      <c r="C37" s="106"/>
      <c r="D37" s="106"/>
      <c r="E37" s="106"/>
      <c r="F37" s="106"/>
      <c r="G37" s="106"/>
      <c r="H37" s="106"/>
    </row>
    <row r="38" spans="1:8" ht="18" customHeight="1" x14ac:dyDescent="0.3">
      <c r="A38" s="109" t="s">
        <v>25</v>
      </c>
      <c r="B38" s="109"/>
      <c r="C38" s="109"/>
      <c r="D38" s="109"/>
      <c r="E38" s="109"/>
      <c r="F38" s="109"/>
      <c r="G38" s="109"/>
      <c r="H38" s="109"/>
    </row>
    <row r="39" spans="1:8" ht="17.25" customHeight="1" x14ac:dyDescent="0.3">
      <c r="A39" s="103" t="s">
        <v>26</v>
      </c>
      <c r="B39" s="103"/>
      <c r="C39" s="103"/>
      <c r="D39" s="103"/>
      <c r="E39" s="103"/>
      <c r="F39" s="103"/>
      <c r="G39" s="103"/>
      <c r="H39" s="103"/>
    </row>
    <row r="40" spans="1:8" x14ac:dyDescent="0.3">
      <c r="A40" s="103"/>
      <c r="B40" s="103"/>
      <c r="C40" s="103"/>
      <c r="D40" s="103"/>
      <c r="E40" s="103"/>
      <c r="F40" s="103"/>
      <c r="G40" s="103"/>
      <c r="H40" s="103"/>
    </row>
    <row r="41" spans="1:8" ht="20.25" customHeight="1" x14ac:dyDescent="0.3">
      <c r="A41" s="7" t="s">
        <v>23</v>
      </c>
    </row>
    <row r="42" spans="1:8" ht="13.5" customHeight="1" x14ac:dyDescent="0.3"/>
    <row r="43" spans="1:8" ht="15" customHeight="1" x14ac:dyDescent="0.3">
      <c r="A43" s="104" t="s">
        <v>32</v>
      </c>
      <c r="B43" s="104"/>
      <c r="C43" s="104"/>
      <c r="D43" s="104"/>
      <c r="E43" s="104"/>
      <c r="F43" s="104"/>
      <c r="G43" s="104"/>
      <c r="H43" s="104"/>
    </row>
    <row r="44" spans="1:8" x14ac:dyDescent="0.3">
      <c r="A44" s="104"/>
      <c r="B44" s="104"/>
      <c r="C44" s="104"/>
      <c r="D44" s="104"/>
      <c r="E44" s="104"/>
      <c r="F44" s="104"/>
      <c r="G44" s="104"/>
      <c r="H44" s="104"/>
    </row>
    <row r="45" spans="1:8" x14ac:dyDescent="0.3">
      <c r="A45" s="104"/>
      <c r="B45" s="104"/>
      <c r="C45" s="104"/>
      <c r="D45" s="104"/>
      <c r="E45" s="104"/>
      <c r="F45" s="104"/>
      <c r="G45" s="104"/>
      <c r="H45" s="104"/>
    </row>
    <row r="46" spans="1:8" x14ac:dyDescent="0.3">
      <c r="A46" s="104"/>
      <c r="B46" s="104"/>
      <c r="C46" s="104"/>
      <c r="D46" s="104"/>
      <c r="E46" s="104"/>
      <c r="F46" s="104"/>
      <c r="G46" s="104"/>
      <c r="H46" s="104"/>
    </row>
    <row r="47" spans="1:8" x14ac:dyDescent="0.3">
      <c r="A47" s="104"/>
      <c r="B47" s="104"/>
      <c r="C47" s="104"/>
      <c r="D47" s="104"/>
      <c r="E47" s="104"/>
      <c r="F47" s="104"/>
      <c r="G47" s="104"/>
      <c r="H47" s="104"/>
    </row>
    <row r="48" spans="1:8" x14ac:dyDescent="0.3">
      <c r="A48" s="104"/>
      <c r="B48" s="104"/>
      <c r="C48" s="104"/>
      <c r="D48" s="104"/>
      <c r="E48" s="104"/>
      <c r="F48" s="104"/>
      <c r="G48" s="104"/>
      <c r="H48" s="104"/>
    </row>
    <row r="49" spans="1:8" x14ac:dyDescent="0.3">
      <c r="A49" s="8"/>
      <c r="B49" s="8"/>
      <c r="C49" s="8"/>
      <c r="D49" s="8"/>
      <c r="E49" s="8"/>
      <c r="F49" s="8"/>
      <c r="G49" s="8"/>
      <c r="H49" s="8"/>
    </row>
  </sheetData>
  <mergeCells count="15">
    <mergeCell ref="A39:H40"/>
    <mergeCell ref="A43:H48"/>
    <mergeCell ref="A25:H26"/>
    <mergeCell ref="A27:H28"/>
    <mergeCell ref="A29:H31"/>
    <mergeCell ref="A32:H34"/>
    <mergeCell ref="A35:H37"/>
    <mergeCell ref="E8:H10"/>
    <mergeCell ref="A1:H2"/>
    <mergeCell ref="A38:H38"/>
    <mergeCell ref="A22:H23"/>
    <mergeCell ref="A24:H24"/>
    <mergeCell ref="B14:C14"/>
    <mergeCell ref="G11:H11"/>
    <mergeCell ref="B16:C16"/>
  </mergeCells>
  <printOptions horizontalCentered="1"/>
  <pageMargins left="0.11811023622047245" right="0.11811023622047245" top="0.78740157480314965" bottom="0.78740157480314965" header="0.31496062992125984" footer="0.31496062992125984"/>
  <pageSetup paperSize="9" scale="9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 sizeWithCells="1">
                  <from>
                    <xdr:col>0</xdr:col>
                    <xdr:colOff>480060</xdr:colOff>
                    <xdr:row>8</xdr:row>
                    <xdr:rowOff>53340</xdr:rowOff>
                  </from>
                  <to>
                    <xdr:col>3</xdr:col>
                    <xdr:colOff>160020</xdr:colOff>
                    <xdr:row>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Group Box 2">
              <controlPr defaultSize="0" autoFill="0" autoPict="0">
                <anchor moveWithCells="1" sizeWithCells="1">
                  <from>
                    <xdr:col>0</xdr:col>
                    <xdr:colOff>381000</xdr:colOff>
                    <xdr:row>7</xdr:row>
                    <xdr:rowOff>91440</xdr:rowOff>
                  </from>
                  <to>
                    <xdr:col>3</xdr:col>
                    <xdr:colOff>259080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Group Box 4">
              <controlPr defaultSize="0" autoFill="0" autoPict="0">
                <anchor moveWithCells="1" sizeWithCells="1">
                  <from>
                    <xdr:col>0</xdr:col>
                    <xdr:colOff>83820</xdr:colOff>
                    <xdr:row>3</xdr:row>
                    <xdr:rowOff>7620</xdr:rowOff>
                  </from>
                  <to>
                    <xdr:col>8</xdr:col>
                    <xdr:colOff>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Option Button 6">
              <controlPr defaultSize="0" autoFill="0" autoLine="0" autoPict="0">
                <anchor moveWithCells="1">
                  <from>
                    <xdr:col>0</xdr:col>
                    <xdr:colOff>381000</xdr:colOff>
                    <xdr:row>3</xdr:row>
                    <xdr:rowOff>144780</xdr:rowOff>
                  </from>
                  <to>
                    <xdr:col>4</xdr:col>
                    <xdr:colOff>15240</xdr:colOff>
                    <xdr:row>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Option Button 7">
              <controlPr defaultSize="0" autoFill="0" autoLine="0" autoPict="0">
                <anchor moveWithCells="1">
                  <from>
                    <xdr:col>4</xdr:col>
                    <xdr:colOff>45720</xdr:colOff>
                    <xdr:row>3</xdr:row>
                    <xdr:rowOff>144780</xdr:rowOff>
                  </from>
                  <to>
                    <xdr:col>7</xdr:col>
                    <xdr:colOff>449580</xdr:colOff>
                    <xdr:row>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Option Button 8">
              <controlPr defaultSize="0" autoFill="0" autoLine="0" autoPict="0">
                <anchor moveWithCells="1">
                  <from>
                    <xdr:col>0</xdr:col>
                    <xdr:colOff>381000</xdr:colOff>
                    <xdr:row>5</xdr:row>
                    <xdr:rowOff>15240</xdr:rowOff>
                  </from>
                  <to>
                    <xdr:col>4</xdr:col>
                    <xdr:colOff>15240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Option Button 9">
              <controlPr defaultSize="0" autoFill="0" autoLine="0" autoPict="0">
                <anchor moveWithCells="1">
                  <from>
                    <xdr:col>4</xdr:col>
                    <xdr:colOff>45720</xdr:colOff>
                    <xdr:row>5</xdr:row>
                    <xdr:rowOff>15240</xdr:rowOff>
                  </from>
                  <to>
                    <xdr:col>7</xdr:col>
                    <xdr:colOff>449580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Drop Down 11">
              <controlPr defaultSize="0" autoLine="0" autoPict="0">
                <anchor moveWithCells="1" sizeWithCells="1">
                  <from>
                    <xdr:col>1</xdr:col>
                    <xdr:colOff>198120</xdr:colOff>
                    <xdr:row>10</xdr:row>
                    <xdr:rowOff>83820</xdr:rowOff>
                  </from>
                  <to>
                    <xdr:col>2</xdr:col>
                    <xdr:colOff>175260</xdr:colOff>
                    <xdr:row>11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Group Box 12">
              <controlPr defaultSize="0" autoFill="0" autoPict="0">
                <anchor moveWithCells="1" sizeWithCells="1">
                  <from>
                    <xdr:col>0</xdr:col>
                    <xdr:colOff>373380</xdr:colOff>
                    <xdr:row>9</xdr:row>
                    <xdr:rowOff>228600</xdr:rowOff>
                  </from>
                  <to>
                    <xdr:col>3</xdr:col>
                    <xdr:colOff>251460</xdr:colOff>
                    <xdr:row>11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3" name="Group Box 16">
              <controlPr defaultSize="0" autoFill="0" autoPict="0">
                <anchor moveWithCells="1">
                  <from>
                    <xdr:col>0</xdr:col>
                    <xdr:colOff>381000</xdr:colOff>
                    <xdr:row>12</xdr:row>
                    <xdr:rowOff>22860</xdr:rowOff>
                  </from>
                  <to>
                    <xdr:col>3</xdr:col>
                    <xdr:colOff>259080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4" name="Group Box 28">
              <controlPr defaultSize="0" autoFill="0" autoPict="0">
                <anchor moveWithCells="1">
                  <from>
                    <xdr:col>0</xdr:col>
                    <xdr:colOff>381000</xdr:colOff>
                    <xdr:row>14</xdr:row>
                    <xdr:rowOff>190500</xdr:rowOff>
                  </from>
                  <to>
                    <xdr:col>3</xdr:col>
                    <xdr:colOff>259080</xdr:colOff>
                    <xdr:row>16</xdr:row>
                    <xdr:rowOff>68580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EEFF-779E-4CCA-A6A9-5478E2AB02BF}">
  <sheetPr codeName="Planilha11"/>
  <dimension ref="A1:G20"/>
  <sheetViews>
    <sheetView showGridLines="0" zoomScaleNormal="100" workbookViewId="0">
      <selection activeCell="A31" sqref="A31:H33"/>
    </sheetView>
  </sheetViews>
  <sheetFormatPr defaultRowHeight="14.4" x14ac:dyDescent="0.3"/>
  <cols>
    <col min="1" max="1" width="24" bestFit="1" customWidth="1"/>
    <col min="2" max="2" width="24" customWidth="1"/>
    <col min="3" max="3" width="18.109375" bestFit="1" customWidth="1"/>
    <col min="26" max="26" width="24" bestFit="1" customWidth="1"/>
  </cols>
  <sheetData>
    <row r="1" spans="1:7" x14ac:dyDescent="0.3">
      <c r="A1" t="s">
        <v>0</v>
      </c>
      <c r="B1" s="1" t="s">
        <v>10</v>
      </c>
    </row>
    <row r="2" spans="1:7" ht="15.6" x14ac:dyDescent="0.3">
      <c r="A2" t="s">
        <v>1</v>
      </c>
      <c r="B2" s="1">
        <v>2</v>
      </c>
      <c r="C2">
        <v>1</v>
      </c>
      <c r="D2" s="3" t="s">
        <v>16</v>
      </c>
    </row>
    <row r="3" spans="1:7" ht="15.6" x14ac:dyDescent="0.3">
      <c r="A3" t="s">
        <v>2</v>
      </c>
      <c r="B3" s="1">
        <v>3</v>
      </c>
      <c r="C3">
        <v>2</v>
      </c>
      <c r="D3" s="3" t="s">
        <v>17</v>
      </c>
    </row>
    <row r="4" spans="1:7" x14ac:dyDescent="0.3">
      <c r="A4" t="s">
        <v>34</v>
      </c>
      <c r="B4" s="1">
        <v>4</v>
      </c>
      <c r="C4">
        <v>3</v>
      </c>
      <c r="D4" s="5" t="s">
        <v>18</v>
      </c>
    </row>
    <row r="5" spans="1:7" x14ac:dyDescent="0.3">
      <c r="A5" t="s">
        <v>3</v>
      </c>
      <c r="B5" s="1">
        <v>5</v>
      </c>
      <c r="C5">
        <v>4</v>
      </c>
      <c r="D5" s="5" t="s">
        <v>19</v>
      </c>
    </row>
    <row r="6" spans="1:7" x14ac:dyDescent="0.3">
      <c r="A6" t="s">
        <v>4</v>
      </c>
      <c r="B6" s="1">
        <v>6</v>
      </c>
    </row>
    <row r="7" spans="1:7" ht="18" x14ac:dyDescent="0.3">
      <c r="A7" t="s">
        <v>5</v>
      </c>
      <c r="B7" s="1">
        <v>7</v>
      </c>
      <c r="G7" s="14">
        <f>$B$11</f>
        <v>1</v>
      </c>
    </row>
    <row r="8" spans="1:7" x14ac:dyDescent="0.3">
      <c r="A8" t="s">
        <v>6</v>
      </c>
      <c r="B8" s="1">
        <v>9</v>
      </c>
      <c r="C8">
        <v>1</v>
      </c>
      <c r="D8" s="2" t="s">
        <v>14</v>
      </c>
      <c r="E8" s="2" t="s">
        <v>15</v>
      </c>
    </row>
    <row r="9" spans="1:7" x14ac:dyDescent="0.3">
      <c r="A9" t="s">
        <v>7</v>
      </c>
      <c r="C9">
        <v>5</v>
      </c>
      <c r="D9" s="2">
        <f>IF($C$8=1,VLOOKUP($C$9,'Tabela A'!$A$4:$I$15,Dados!$C$10+2),IF($C$8=2,VLOOKUP($C$9,'Tabela B'!A4:I15,Dados!$C$10+2),IF($C$8=3,VLOOKUP($C$9,'Tabela C'!$A$4:$I$15,Dados!$C$10+2),IF($C$8=4,VLOOKUP($C$9,'Tabela D'!$A$4:$I$15,Dados!$C$10+2)))))</f>
        <v>6.1604000000000001</v>
      </c>
      <c r="E9" s="2">
        <f>IF($C$8=1,VLOOKUP($C$9,'Tabela A'!$J$4:$Q$15,Dados!$C$10+1),IF($C$8=2,VLOOKUP($C$9,'Tabela B'!$J$4:$Q$15,Dados!$C$10+1),IF($C$8=3,VLOOKUP($C$9,'Tabela C'!$J$4:$Q$15,Dados!$C$10+1),IF($C$8=4,VLOOKUP($C$9,'Tabela D'!$J$4:$Q$15,Dados!$C$10+1)))))</f>
        <v>635.08000000000004</v>
      </c>
    </row>
    <row r="10" spans="1:7" x14ac:dyDescent="0.3">
      <c r="A10" t="s">
        <v>35</v>
      </c>
      <c r="C10">
        <v>4</v>
      </c>
      <c r="D10" s="10" t="str">
        <f>VLOOKUP(Dados!$C$8,Dados!C2:D5,2)</f>
        <v>TABELA A – CARGA LOTAÇÃO</v>
      </c>
    </row>
    <row r="11" spans="1:7" x14ac:dyDescent="0.3">
      <c r="A11" t="s">
        <v>8</v>
      </c>
      <c r="B11" s="16">
        <f>C8</f>
        <v>1</v>
      </c>
      <c r="C11">
        <v>1</v>
      </c>
    </row>
    <row r="12" spans="1:7" x14ac:dyDescent="0.3">
      <c r="A12" t="s">
        <v>9</v>
      </c>
      <c r="B12">
        <v>1</v>
      </c>
      <c r="C12" t="s">
        <v>36</v>
      </c>
      <c r="D12" s="13">
        <f>(Dados!$D$9*Painel!$B$14)+Dados!$E$9</f>
        <v>6795.4800000000005</v>
      </c>
    </row>
    <row r="13" spans="1:7" x14ac:dyDescent="0.3">
      <c r="A13" t="s">
        <v>11</v>
      </c>
      <c r="B13">
        <v>2</v>
      </c>
      <c r="C13" t="s">
        <v>37</v>
      </c>
      <c r="D13" s="10">
        <f>((Painel!B14*Dados!D9)*92%)</f>
        <v>5667.5680000000011</v>
      </c>
    </row>
    <row r="15" spans="1:7" ht="21" x14ac:dyDescent="0.4">
      <c r="C15" s="15">
        <f>IF($B$11=1,VLOOKUP($G$7,$B$12:$D$13,3),IF($B$11=2,VLOOKUP($G$7,$B$12:$D$13,3)))</f>
        <v>6795.4800000000005</v>
      </c>
    </row>
    <row r="18" spans="3:6" x14ac:dyDescent="0.3">
      <c r="C18" s="27">
        <f>(Painel!$E$12/Painel!$B$16)</f>
        <v>339.774</v>
      </c>
      <c r="D18" s="13">
        <f>Painel!$F$12/Painel!$B$16</f>
        <v>283.37840000000006</v>
      </c>
      <c r="E18" s="5" t="str">
        <f>"=      "&amp;DOLLAR(Painel!$E$12+Painel!$F$12)&amp;""</f>
        <v>=      R$ 12.463,05</v>
      </c>
      <c r="F18" s="5"/>
    </row>
    <row r="19" spans="3:6" x14ac:dyDescent="0.3">
      <c r="C19" s="25" t="str">
        <f>"Coeficiente de custo (CCD) = "&amp;DOLLAR(Dados!$D$9,4&amp;"")</f>
        <v>Coeficiente de custo (CCD) = R$ 6,1604</v>
      </c>
      <c r="D19" s="13"/>
      <c r="E19" s="5"/>
      <c r="F19" s="5"/>
    </row>
    <row r="20" spans="3:6" x14ac:dyDescent="0.3">
      <c r="C20" s="26" t="str">
        <f>"Carga e descarga (CC) = "&amp;DOLLAR(Dados!$E$9,2&amp;"")</f>
        <v>Carga e descarga (CC) = R$ 635,08</v>
      </c>
      <c r="D20" s="5"/>
      <c r="E20" s="5"/>
      <c r="F20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E32A-D62B-4A2E-BD19-CDAAADDC1112}">
  <sheetPr codeName="Planilha2"/>
  <dimension ref="A1:Z15"/>
  <sheetViews>
    <sheetView showGridLines="0" zoomScaleNormal="100" workbookViewId="0">
      <selection activeCell="A31" sqref="A31:H33"/>
    </sheetView>
  </sheetViews>
  <sheetFormatPr defaultRowHeight="14.4" x14ac:dyDescent="0.3"/>
  <cols>
    <col min="1" max="1" width="3.88671875" bestFit="1" customWidth="1"/>
    <col min="2" max="2" width="33" bestFit="1" customWidth="1"/>
    <col min="3" max="7" width="9.109375" style="2"/>
    <col min="8" max="8" width="8.33203125" bestFit="1" customWidth="1"/>
    <col min="10" max="10" width="3.6640625" customWidth="1"/>
    <col min="14" max="14" width="8.33203125" bestFit="1" customWidth="1"/>
    <col min="15" max="19" width="9.109375" style="2"/>
    <col min="20" max="20" width="6" style="2" bestFit="1" customWidth="1"/>
    <col min="21" max="21" width="7" style="2" bestFit="1" customWidth="1"/>
    <col min="22" max="23" width="7" bestFit="1" customWidth="1"/>
    <col min="24" max="24" width="6" bestFit="1" customWidth="1"/>
    <col min="25" max="26" width="7" bestFit="1" customWidth="1"/>
  </cols>
  <sheetData>
    <row r="1" spans="1:26" ht="31.5" customHeight="1" thickBot="1" x14ac:dyDescent="0.35">
      <c r="B1" s="120" t="s">
        <v>43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1"/>
    </row>
    <row r="2" spans="1:26" ht="15.75" customHeight="1" thickBot="1" x14ac:dyDescent="0.35">
      <c r="C2" s="118" t="s">
        <v>13</v>
      </c>
      <c r="D2" s="111"/>
      <c r="E2" s="111"/>
      <c r="F2" s="111"/>
      <c r="G2" s="111"/>
      <c r="H2" s="111"/>
      <c r="I2" s="119"/>
      <c r="K2" s="115" t="s">
        <v>12</v>
      </c>
      <c r="L2" s="116"/>
      <c r="M2" s="116"/>
      <c r="N2" s="116"/>
      <c r="O2" s="116"/>
      <c r="P2" s="116"/>
      <c r="Q2" s="117"/>
    </row>
    <row r="3" spans="1:26" ht="15" x14ac:dyDescent="0.3">
      <c r="B3" s="32" t="s">
        <v>0</v>
      </c>
      <c r="C3" s="33">
        <v>2</v>
      </c>
      <c r="D3" s="33">
        <v>3</v>
      </c>
      <c r="E3" s="33">
        <v>4</v>
      </c>
      <c r="F3" s="33">
        <v>5</v>
      </c>
      <c r="G3" s="33">
        <v>6</v>
      </c>
      <c r="H3" s="33">
        <v>7</v>
      </c>
      <c r="I3" s="34">
        <v>9</v>
      </c>
      <c r="K3" s="35">
        <v>2</v>
      </c>
      <c r="L3" s="36">
        <v>3</v>
      </c>
      <c r="M3" s="36">
        <v>4</v>
      </c>
      <c r="N3" s="36">
        <v>5</v>
      </c>
      <c r="O3" s="36">
        <v>6</v>
      </c>
      <c r="P3" s="36">
        <v>7</v>
      </c>
      <c r="Q3" s="37">
        <v>9</v>
      </c>
      <c r="R3" s="29"/>
      <c r="S3" s="29"/>
      <c r="T3" s="29"/>
      <c r="U3" s="29"/>
      <c r="V3" s="29"/>
      <c r="W3" s="29"/>
      <c r="X3" s="29"/>
    </row>
    <row r="4" spans="1:26" ht="15" x14ac:dyDescent="0.3">
      <c r="A4">
        <v>1</v>
      </c>
      <c r="B4" s="38" t="s">
        <v>1</v>
      </c>
      <c r="C4" s="94">
        <v>3.7122999999999999</v>
      </c>
      <c r="D4" s="94">
        <v>4.7427000000000001</v>
      </c>
      <c r="E4" s="94">
        <v>5.3672000000000004</v>
      </c>
      <c r="F4" s="94">
        <v>6.1859000000000002</v>
      </c>
      <c r="G4" s="94">
        <v>6.8057999999999996</v>
      </c>
      <c r="H4" s="94">
        <v>7.4504999999999999</v>
      </c>
      <c r="I4" s="95">
        <v>8.5299999999999994</v>
      </c>
      <c r="J4" s="42">
        <v>1</v>
      </c>
      <c r="K4" s="93">
        <v>444.84</v>
      </c>
      <c r="L4" s="94">
        <v>533.36</v>
      </c>
      <c r="M4" s="94">
        <v>576.59</v>
      </c>
      <c r="N4" s="94">
        <v>642.1</v>
      </c>
      <c r="O4" s="94">
        <v>656.76</v>
      </c>
      <c r="P4" s="94">
        <v>792.3</v>
      </c>
      <c r="Q4" s="95">
        <v>877.83</v>
      </c>
      <c r="T4" s="30"/>
      <c r="U4" s="30"/>
      <c r="V4" s="30"/>
      <c r="W4" s="30"/>
      <c r="X4" s="30"/>
      <c r="Y4" s="30"/>
      <c r="Z4" s="30"/>
    </row>
    <row r="5" spans="1:26" x14ac:dyDescent="0.3">
      <c r="A5">
        <v>2</v>
      </c>
      <c r="B5" s="39" t="s">
        <v>2</v>
      </c>
      <c r="C5" s="92">
        <v>3.7837000000000001</v>
      </c>
      <c r="D5" s="92">
        <v>4.835</v>
      </c>
      <c r="E5" s="92">
        <v>5.5162000000000004</v>
      </c>
      <c r="F5" s="92">
        <v>6.3479999999999999</v>
      </c>
      <c r="G5" s="92">
        <v>6.9729999999999999</v>
      </c>
      <c r="H5" s="92">
        <v>7.5842000000000001</v>
      </c>
      <c r="I5" s="96">
        <v>8.6837</v>
      </c>
      <c r="J5">
        <v>2</v>
      </c>
      <c r="K5" s="100">
        <v>455.84</v>
      </c>
      <c r="L5" s="92">
        <v>550.1</v>
      </c>
      <c r="M5" s="92">
        <v>600.27</v>
      </c>
      <c r="N5" s="92">
        <v>669.38</v>
      </c>
      <c r="O5" s="92">
        <v>685.45</v>
      </c>
      <c r="P5" s="92">
        <v>811.76</v>
      </c>
      <c r="Q5" s="96">
        <v>902.8</v>
      </c>
    </row>
    <row r="6" spans="1:26" x14ac:dyDescent="0.3">
      <c r="A6">
        <v>3</v>
      </c>
      <c r="B6" s="38" t="s">
        <v>34</v>
      </c>
      <c r="C6" s="94">
        <v>4.3422999999999998</v>
      </c>
      <c r="D6" s="94">
        <v>5.5387000000000004</v>
      </c>
      <c r="E6" s="94">
        <v>6.3226000000000004</v>
      </c>
      <c r="F6" s="94">
        <v>7.2435</v>
      </c>
      <c r="G6" s="94">
        <v>7.9625000000000004</v>
      </c>
      <c r="H6" s="94">
        <v>8.8534000000000006</v>
      </c>
      <c r="I6" s="95">
        <v>10.0426</v>
      </c>
      <c r="J6">
        <v>3</v>
      </c>
      <c r="K6" s="93">
        <v>502.29</v>
      </c>
      <c r="L6" s="94">
        <v>601.96</v>
      </c>
      <c r="M6" s="94">
        <v>663.16</v>
      </c>
      <c r="N6" s="94">
        <v>732.07</v>
      </c>
      <c r="O6" s="94">
        <v>745.94</v>
      </c>
      <c r="P6" s="94">
        <v>949.16</v>
      </c>
      <c r="Q6" s="95">
        <v>1030.58</v>
      </c>
    </row>
    <row r="7" spans="1:26" x14ac:dyDescent="0.3">
      <c r="A7">
        <v>4</v>
      </c>
      <c r="B7" s="39" t="s">
        <v>3</v>
      </c>
      <c r="C7" s="92" t="s">
        <v>33</v>
      </c>
      <c r="D7" s="92">
        <v>4.7164000000000001</v>
      </c>
      <c r="E7" s="92">
        <v>5.2975000000000003</v>
      </c>
      <c r="F7" s="92">
        <v>6.1242999999999999</v>
      </c>
      <c r="G7" s="92">
        <v>6.7426000000000004</v>
      </c>
      <c r="H7" s="92">
        <v>7.4481999999999999</v>
      </c>
      <c r="I7" s="96">
        <v>8.4497</v>
      </c>
      <c r="J7">
        <v>4</v>
      </c>
      <c r="K7" s="100" t="s">
        <v>33</v>
      </c>
      <c r="L7" s="92">
        <v>526.13</v>
      </c>
      <c r="M7" s="92">
        <v>557.41999999999996</v>
      </c>
      <c r="N7" s="92">
        <v>625.16</v>
      </c>
      <c r="O7" s="92">
        <v>639.38</v>
      </c>
      <c r="P7" s="92">
        <v>791.67</v>
      </c>
      <c r="Q7" s="96">
        <v>855.76</v>
      </c>
    </row>
    <row r="8" spans="1:26" x14ac:dyDescent="0.3">
      <c r="A8">
        <v>5</v>
      </c>
      <c r="B8" s="40" t="s">
        <v>4</v>
      </c>
      <c r="C8" s="91">
        <v>3.6815000000000002</v>
      </c>
      <c r="D8" s="91">
        <v>4.7061999999999999</v>
      </c>
      <c r="E8" s="91">
        <v>5.3385999999999996</v>
      </c>
      <c r="F8" s="91">
        <v>6.1604000000000001</v>
      </c>
      <c r="G8" s="91">
        <v>6.7774000000000001</v>
      </c>
      <c r="H8" s="91">
        <v>7.4901999999999997</v>
      </c>
      <c r="I8" s="97">
        <v>8.5104000000000006</v>
      </c>
      <c r="J8">
        <v>5</v>
      </c>
      <c r="K8" s="101">
        <v>436.39</v>
      </c>
      <c r="L8" s="91">
        <v>523.33000000000004</v>
      </c>
      <c r="M8" s="91">
        <v>568.72</v>
      </c>
      <c r="N8" s="91">
        <v>635.08000000000004</v>
      </c>
      <c r="O8" s="91">
        <v>648.95000000000005</v>
      </c>
      <c r="P8" s="91">
        <v>803.22</v>
      </c>
      <c r="Q8" s="97">
        <v>872.44</v>
      </c>
    </row>
    <row r="9" spans="1:26" x14ac:dyDescent="0.3">
      <c r="A9">
        <v>6</v>
      </c>
      <c r="B9" s="39" t="s">
        <v>5</v>
      </c>
      <c r="C9" s="92">
        <v>3.3488000000000002</v>
      </c>
      <c r="D9" s="92">
        <v>4.7047999999999996</v>
      </c>
      <c r="E9" s="92">
        <v>5.3648999999999996</v>
      </c>
      <c r="F9" s="92">
        <v>6.1604000000000001</v>
      </c>
      <c r="G9" s="92">
        <v>6.7774000000000001</v>
      </c>
      <c r="H9" s="92">
        <v>7.4901999999999997</v>
      </c>
      <c r="I9" s="96">
        <v>8.5104000000000006</v>
      </c>
      <c r="J9">
        <v>6</v>
      </c>
      <c r="K9" s="100">
        <v>436.39</v>
      </c>
      <c r="L9" s="92">
        <v>522.92999999999995</v>
      </c>
      <c r="M9" s="92">
        <v>575.96</v>
      </c>
      <c r="N9" s="92">
        <v>635.08000000000004</v>
      </c>
      <c r="O9" s="92">
        <v>648.95000000000005</v>
      </c>
      <c r="P9" s="92">
        <v>803.22</v>
      </c>
      <c r="Q9" s="96">
        <v>872.44</v>
      </c>
    </row>
    <row r="10" spans="1:26" x14ac:dyDescent="0.3">
      <c r="A10">
        <v>7</v>
      </c>
      <c r="B10" s="38" t="s">
        <v>6</v>
      </c>
      <c r="C10" s="94">
        <v>4.4560000000000004</v>
      </c>
      <c r="D10" s="94">
        <v>5.4960000000000004</v>
      </c>
      <c r="E10" s="94">
        <v>6.1559999999999997</v>
      </c>
      <c r="F10" s="94">
        <v>6.9747000000000003</v>
      </c>
      <c r="G10" s="94">
        <v>7.5945999999999998</v>
      </c>
      <c r="H10" s="94">
        <v>8.2568999999999999</v>
      </c>
      <c r="I10" s="95">
        <v>9.3440999999999992</v>
      </c>
      <c r="J10">
        <v>7</v>
      </c>
      <c r="K10" s="93">
        <v>587.98</v>
      </c>
      <c r="L10" s="94">
        <v>679.12</v>
      </c>
      <c r="M10" s="94">
        <v>727.28</v>
      </c>
      <c r="N10" s="94">
        <v>792.8</v>
      </c>
      <c r="O10" s="94">
        <v>807.45</v>
      </c>
      <c r="P10" s="94">
        <v>947.84</v>
      </c>
      <c r="Q10" s="95">
        <v>1035.49</v>
      </c>
    </row>
    <row r="11" spans="1:26" x14ac:dyDescent="0.3">
      <c r="A11">
        <v>8</v>
      </c>
      <c r="B11" s="39" t="s">
        <v>7</v>
      </c>
      <c r="C11" s="92">
        <v>4.5395000000000003</v>
      </c>
      <c r="D11" s="92">
        <v>5.6003999999999996</v>
      </c>
      <c r="E11" s="92">
        <v>6.2857000000000003</v>
      </c>
      <c r="F11" s="92">
        <v>7.1174999999999997</v>
      </c>
      <c r="G11" s="92">
        <v>7.7424999999999997</v>
      </c>
      <c r="H11" s="92">
        <v>8.3712999999999997</v>
      </c>
      <c r="I11" s="96">
        <v>9.4785000000000004</v>
      </c>
      <c r="J11">
        <v>8</v>
      </c>
      <c r="K11" s="100">
        <v>610.96</v>
      </c>
      <c r="L11" s="92">
        <v>707.85</v>
      </c>
      <c r="M11" s="92">
        <v>762.95</v>
      </c>
      <c r="N11" s="92">
        <v>832.06</v>
      </c>
      <c r="O11" s="92">
        <v>848.13</v>
      </c>
      <c r="P11" s="92">
        <v>979.29</v>
      </c>
      <c r="Q11" s="96">
        <v>1072.44</v>
      </c>
    </row>
    <row r="12" spans="1:26" ht="15" x14ac:dyDescent="0.3">
      <c r="A12">
        <v>9</v>
      </c>
      <c r="B12" s="38" t="s">
        <v>35</v>
      </c>
      <c r="C12" s="94">
        <v>4.9295999999999998</v>
      </c>
      <c r="D12" s="94">
        <v>6.1384999999999996</v>
      </c>
      <c r="E12" s="94">
        <v>6.9381000000000004</v>
      </c>
      <c r="F12" s="94">
        <v>7.859</v>
      </c>
      <c r="G12" s="94">
        <v>8.5779999999999994</v>
      </c>
      <c r="H12" s="94">
        <v>9.4917999999999996</v>
      </c>
      <c r="I12" s="95">
        <v>10.691000000000001</v>
      </c>
      <c r="J12">
        <v>9</v>
      </c>
      <c r="K12" s="93">
        <v>609.30999999999995</v>
      </c>
      <c r="L12" s="94">
        <v>712.41</v>
      </c>
      <c r="M12" s="94">
        <v>780.02</v>
      </c>
      <c r="N12" s="94">
        <v>848.93</v>
      </c>
      <c r="O12" s="94">
        <v>862.8</v>
      </c>
      <c r="P12" s="94">
        <v>1072.32</v>
      </c>
      <c r="Q12" s="95">
        <v>1156.49</v>
      </c>
      <c r="S12" s="30"/>
      <c r="T12" s="30"/>
      <c r="U12" s="30"/>
      <c r="V12" s="30"/>
      <c r="W12" s="30"/>
      <c r="X12" s="30"/>
      <c r="Y12" s="30"/>
    </row>
    <row r="13" spans="1:26" ht="15" x14ac:dyDescent="0.3">
      <c r="A13">
        <v>10</v>
      </c>
      <c r="B13" s="39" t="s">
        <v>8</v>
      </c>
      <c r="C13" s="92" t="s">
        <v>33</v>
      </c>
      <c r="D13" s="92">
        <v>5.0876000000000001</v>
      </c>
      <c r="E13" s="92">
        <v>5.7042000000000002</v>
      </c>
      <c r="F13" s="92">
        <v>6.5311000000000003</v>
      </c>
      <c r="G13" s="92">
        <v>7.1493000000000002</v>
      </c>
      <c r="H13" s="92">
        <v>7.8726000000000003</v>
      </c>
      <c r="I13" s="96">
        <v>8.8818000000000001</v>
      </c>
      <c r="J13">
        <v>10</v>
      </c>
      <c r="K13" s="100" t="s">
        <v>33</v>
      </c>
      <c r="L13" s="92">
        <v>623.38</v>
      </c>
      <c r="M13" s="92">
        <v>659.6</v>
      </c>
      <c r="N13" s="92">
        <v>727.35</v>
      </c>
      <c r="O13" s="92">
        <v>741.56</v>
      </c>
      <c r="P13" s="92">
        <v>898.7</v>
      </c>
      <c r="Q13" s="96">
        <v>964.9</v>
      </c>
      <c r="S13" s="30"/>
      <c r="T13" s="30"/>
      <c r="U13" s="30"/>
      <c r="V13" s="30"/>
      <c r="W13" s="30"/>
      <c r="X13" s="30"/>
    </row>
    <row r="14" spans="1:26" ht="15" x14ac:dyDescent="0.3">
      <c r="A14">
        <v>11</v>
      </c>
      <c r="B14" s="38" t="s">
        <v>9</v>
      </c>
      <c r="C14" s="94">
        <v>4.0431999999999997</v>
      </c>
      <c r="D14" s="94">
        <v>5.0773999999999999</v>
      </c>
      <c r="E14" s="94">
        <v>5.7453000000000003</v>
      </c>
      <c r="F14" s="94">
        <v>6.5670999999999999</v>
      </c>
      <c r="G14" s="94">
        <v>7.1840999999999999</v>
      </c>
      <c r="H14" s="94">
        <v>7.9146000000000001</v>
      </c>
      <c r="I14" s="95">
        <v>8.9423999999999992</v>
      </c>
      <c r="J14">
        <v>11</v>
      </c>
      <c r="K14" s="93">
        <v>531.01</v>
      </c>
      <c r="L14" s="94">
        <v>620.58000000000004</v>
      </c>
      <c r="M14" s="94">
        <v>670.91</v>
      </c>
      <c r="N14" s="94">
        <v>737.27</v>
      </c>
      <c r="O14" s="94">
        <v>751.14</v>
      </c>
      <c r="P14" s="94">
        <v>910.26</v>
      </c>
      <c r="Q14" s="95">
        <v>981.58</v>
      </c>
      <c r="S14" s="30"/>
      <c r="T14" s="30"/>
      <c r="U14" s="30"/>
      <c r="V14" s="30"/>
      <c r="W14" s="30"/>
      <c r="X14" s="30"/>
      <c r="Y14" s="30"/>
    </row>
    <row r="15" spans="1:26" ht="15.6" thickBot="1" x14ac:dyDescent="0.35">
      <c r="A15">
        <v>12</v>
      </c>
      <c r="B15" s="41" t="s">
        <v>11</v>
      </c>
      <c r="C15" s="98" t="s">
        <v>33</v>
      </c>
      <c r="D15" s="98" t="s">
        <v>33</v>
      </c>
      <c r="E15" s="98" t="s">
        <v>33</v>
      </c>
      <c r="F15" s="98">
        <v>6.5125000000000002</v>
      </c>
      <c r="G15" s="98">
        <v>7.1738999999999997</v>
      </c>
      <c r="H15" s="98" t="s">
        <v>33</v>
      </c>
      <c r="I15" s="99">
        <v>9.0335000000000001</v>
      </c>
      <c r="J15">
        <v>12</v>
      </c>
      <c r="K15" s="102" t="s">
        <v>33</v>
      </c>
      <c r="L15" s="98" t="s">
        <v>33</v>
      </c>
      <c r="M15" s="98" t="s">
        <v>33</v>
      </c>
      <c r="N15" s="98">
        <v>731.9</v>
      </c>
      <c r="O15" s="98">
        <v>757.99</v>
      </c>
      <c r="P15" s="98" t="s">
        <v>33</v>
      </c>
      <c r="Q15" s="99">
        <v>1016.29</v>
      </c>
      <c r="S15" s="30"/>
      <c r="T15" s="30"/>
      <c r="U15" s="31"/>
      <c r="V15" s="30"/>
    </row>
  </sheetData>
  <mergeCells count="3">
    <mergeCell ref="K2:Q2"/>
    <mergeCell ref="C2:I2"/>
    <mergeCell ref="B1:Q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E22C-DB19-40DB-A316-86B1870FB782}">
  <sheetPr codeName="Planilha3"/>
  <dimension ref="A1:W15"/>
  <sheetViews>
    <sheetView showGridLines="0" workbookViewId="0">
      <selection activeCell="A31" sqref="A31:H33"/>
    </sheetView>
  </sheetViews>
  <sheetFormatPr defaultRowHeight="14.4" x14ac:dyDescent="0.3"/>
  <cols>
    <col min="1" max="1" width="3.88671875" bestFit="1" customWidth="1"/>
    <col min="2" max="2" width="33" bestFit="1" customWidth="1"/>
    <col min="3" max="3" width="3.6640625" style="2" customWidth="1"/>
    <col min="4" max="4" width="4.33203125" style="2" customWidth="1"/>
    <col min="5" max="7" width="9.33203125" style="2" bestFit="1" customWidth="1"/>
    <col min="8" max="8" width="8.44140625" bestFit="1" customWidth="1"/>
    <col min="9" max="9" width="9.33203125" bestFit="1" customWidth="1"/>
    <col min="10" max="11" width="8.33203125" bestFit="1" customWidth="1"/>
    <col min="12" max="12" width="3.5546875" customWidth="1"/>
    <col min="14" max="14" width="8.33203125" bestFit="1" customWidth="1"/>
    <col min="15" max="21" width="9.109375" style="2"/>
  </cols>
  <sheetData>
    <row r="1" spans="1:23" ht="24" thickBot="1" x14ac:dyDescent="0.35">
      <c r="B1" s="127" t="str">
        <f>'Tabela A'!B1</f>
        <v>RESOLUÇÃO Nº 6.076, DE 19 DE JANEIRO DE 2026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9"/>
    </row>
    <row r="2" spans="1:23" ht="15.75" customHeight="1" thickBot="1" x14ac:dyDescent="0.35">
      <c r="B2" s="130" t="s">
        <v>0</v>
      </c>
      <c r="C2" s="122" t="s">
        <v>13</v>
      </c>
      <c r="D2" s="122"/>
      <c r="E2" s="122"/>
      <c r="F2" s="122"/>
      <c r="G2" s="122"/>
      <c r="H2" s="122"/>
      <c r="I2" s="123"/>
      <c r="K2" s="124" t="s">
        <v>12</v>
      </c>
      <c r="L2" s="125"/>
      <c r="M2" s="125"/>
      <c r="N2" s="125"/>
      <c r="O2" s="125"/>
      <c r="P2" s="125"/>
      <c r="Q2" s="126"/>
    </row>
    <row r="3" spans="1:23" ht="16.2" thickBot="1" x14ac:dyDescent="0.35">
      <c r="B3" s="131"/>
      <c r="C3" s="88">
        <v>2</v>
      </c>
      <c r="D3" s="81">
        <v>3</v>
      </c>
      <c r="E3" s="81">
        <v>4</v>
      </c>
      <c r="F3" s="81">
        <v>5</v>
      </c>
      <c r="G3" s="81">
        <v>6</v>
      </c>
      <c r="H3" s="81">
        <v>7</v>
      </c>
      <c r="I3" s="82">
        <v>9</v>
      </c>
      <c r="K3" s="85">
        <v>2</v>
      </c>
      <c r="L3" s="81">
        <v>3</v>
      </c>
      <c r="M3" s="81">
        <v>4</v>
      </c>
      <c r="N3" s="81">
        <v>5</v>
      </c>
      <c r="O3" s="81">
        <v>6</v>
      </c>
      <c r="P3" s="81">
        <v>7</v>
      </c>
      <c r="Q3" s="86">
        <v>9</v>
      </c>
    </row>
    <row r="4" spans="1:23" ht="15" x14ac:dyDescent="0.3">
      <c r="A4">
        <v>1</v>
      </c>
      <c r="B4" s="89" t="s">
        <v>1</v>
      </c>
      <c r="C4" s="76" t="s">
        <v>33</v>
      </c>
      <c r="D4" s="76" t="s">
        <v>33</v>
      </c>
      <c r="E4" s="76">
        <v>4.7937000000000003</v>
      </c>
      <c r="F4" s="76">
        <v>5.4473000000000003</v>
      </c>
      <c r="G4" s="76">
        <v>6.0545999999999998</v>
      </c>
      <c r="H4" s="76">
        <v>6.4715999999999996</v>
      </c>
      <c r="I4" s="77">
        <v>7.1837999999999997</v>
      </c>
      <c r="J4">
        <v>1</v>
      </c>
      <c r="K4" s="83" t="s">
        <v>33</v>
      </c>
      <c r="L4" s="76" t="s">
        <v>33</v>
      </c>
      <c r="M4" s="76">
        <v>515.16999999999996</v>
      </c>
      <c r="N4" s="76">
        <v>574.29</v>
      </c>
      <c r="O4" s="76">
        <v>588.16999999999996</v>
      </c>
      <c r="P4" s="76">
        <v>695.68</v>
      </c>
      <c r="Q4" s="77">
        <v>746.78</v>
      </c>
      <c r="R4" s="43"/>
      <c r="S4" s="30"/>
      <c r="T4" s="30"/>
      <c r="U4" s="30"/>
      <c r="V4" s="30"/>
    </row>
    <row r="5" spans="1:23" x14ac:dyDescent="0.3">
      <c r="A5">
        <v>2</v>
      </c>
      <c r="B5" s="75" t="s">
        <v>2</v>
      </c>
      <c r="C5" s="76" t="s">
        <v>33</v>
      </c>
      <c r="D5" s="76" t="s">
        <v>33</v>
      </c>
      <c r="E5" s="76">
        <v>4.8566000000000003</v>
      </c>
      <c r="F5" s="76">
        <v>5.5102000000000002</v>
      </c>
      <c r="G5" s="76">
        <v>6.1174999999999997</v>
      </c>
      <c r="H5" s="76">
        <v>6.5345000000000004</v>
      </c>
      <c r="I5" s="77">
        <v>7.2466999999999997</v>
      </c>
      <c r="J5">
        <v>2</v>
      </c>
      <c r="K5" s="83" t="s">
        <v>33</v>
      </c>
      <c r="L5" s="76" t="s">
        <v>33</v>
      </c>
      <c r="M5" s="76">
        <v>515.16999999999996</v>
      </c>
      <c r="N5" s="76">
        <v>574.29</v>
      </c>
      <c r="O5" s="76">
        <v>588.16999999999996</v>
      </c>
      <c r="P5" s="76">
        <v>695.68</v>
      </c>
      <c r="Q5" s="77">
        <v>746.78</v>
      </c>
    </row>
    <row r="6" spans="1:23" x14ac:dyDescent="0.3">
      <c r="A6">
        <v>3</v>
      </c>
      <c r="B6" s="75" t="s">
        <v>34</v>
      </c>
      <c r="C6" s="76" t="s">
        <v>33</v>
      </c>
      <c r="D6" s="76" t="s">
        <v>33</v>
      </c>
      <c r="E6" s="76">
        <v>5.6120999999999999</v>
      </c>
      <c r="F6" s="76">
        <v>6.3555000000000001</v>
      </c>
      <c r="G6" s="76">
        <v>7.0648999999999997</v>
      </c>
      <c r="H6" s="76">
        <v>7.4995000000000003</v>
      </c>
      <c r="I6" s="77">
        <v>8.3440999999999992</v>
      </c>
      <c r="J6">
        <v>3</v>
      </c>
      <c r="K6" s="83" t="s">
        <v>33</v>
      </c>
      <c r="L6" s="76" t="s">
        <v>33</v>
      </c>
      <c r="M6" s="76">
        <v>564.07000000000005</v>
      </c>
      <c r="N6" s="76">
        <v>623.20000000000005</v>
      </c>
      <c r="O6" s="76">
        <v>637.07000000000005</v>
      </c>
      <c r="P6" s="76">
        <v>749.43</v>
      </c>
      <c r="Q6" s="77">
        <v>802.65</v>
      </c>
    </row>
    <row r="7" spans="1:23" x14ac:dyDescent="0.3">
      <c r="A7">
        <v>4</v>
      </c>
      <c r="B7" s="75" t="s">
        <v>3</v>
      </c>
      <c r="C7" s="76" t="s">
        <v>33</v>
      </c>
      <c r="D7" s="76" t="s">
        <v>33</v>
      </c>
      <c r="E7" s="76">
        <v>4.7937000000000003</v>
      </c>
      <c r="F7" s="76">
        <v>5.4473000000000003</v>
      </c>
      <c r="G7" s="76">
        <v>6.0545999999999998</v>
      </c>
      <c r="H7" s="76">
        <v>6.4715999999999996</v>
      </c>
      <c r="I7" s="77">
        <v>7.1837999999999997</v>
      </c>
      <c r="J7">
        <v>4</v>
      </c>
      <c r="K7" s="83" t="s">
        <v>33</v>
      </c>
      <c r="L7" s="76" t="s">
        <v>33</v>
      </c>
      <c r="M7" s="76">
        <v>515.16999999999996</v>
      </c>
      <c r="N7" s="76">
        <v>574.29</v>
      </c>
      <c r="O7" s="76">
        <v>588.16999999999996</v>
      </c>
      <c r="P7" s="76">
        <v>695.68</v>
      </c>
      <c r="Q7" s="77">
        <v>746.78</v>
      </c>
    </row>
    <row r="8" spans="1:23" ht="15" x14ac:dyDescent="0.3">
      <c r="A8">
        <v>5</v>
      </c>
      <c r="B8" s="90" t="s">
        <v>4</v>
      </c>
      <c r="C8" s="45" t="s">
        <v>33</v>
      </c>
      <c r="D8" s="45" t="s">
        <v>33</v>
      </c>
      <c r="E8" s="45">
        <v>4.7937000000000003</v>
      </c>
      <c r="F8" s="45">
        <v>5.4473000000000003</v>
      </c>
      <c r="G8" s="45">
        <v>6.0545999999999998</v>
      </c>
      <c r="H8" s="45">
        <v>6.4715999999999996</v>
      </c>
      <c r="I8" s="46">
        <v>7.1837999999999997</v>
      </c>
      <c r="J8" s="5">
        <v>5</v>
      </c>
      <c r="K8" s="44" t="s">
        <v>33</v>
      </c>
      <c r="L8" s="45" t="s">
        <v>33</v>
      </c>
      <c r="M8" s="45">
        <v>515.16999999999996</v>
      </c>
      <c r="N8" s="45">
        <v>574.29</v>
      </c>
      <c r="O8" s="45">
        <v>588.16999999999996</v>
      </c>
      <c r="P8" s="45">
        <v>695.68</v>
      </c>
      <c r="Q8" s="46">
        <v>746.78</v>
      </c>
      <c r="S8" s="30"/>
      <c r="T8" s="30"/>
      <c r="U8" s="30"/>
      <c r="V8" s="30"/>
      <c r="W8" s="30"/>
    </row>
    <row r="9" spans="1:23" ht="15" x14ac:dyDescent="0.3">
      <c r="A9">
        <v>6</v>
      </c>
      <c r="B9" s="75" t="s">
        <v>5</v>
      </c>
      <c r="C9" s="76" t="s">
        <v>33</v>
      </c>
      <c r="D9" s="76" t="s">
        <v>33</v>
      </c>
      <c r="E9" s="76">
        <v>4.7937000000000003</v>
      </c>
      <c r="F9" s="76">
        <v>5.4473000000000003</v>
      </c>
      <c r="G9" s="76">
        <v>6.0545999999999998</v>
      </c>
      <c r="H9" s="76">
        <v>6.4715999999999996</v>
      </c>
      <c r="I9" s="77">
        <v>7.1837999999999997</v>
      </c>
      <c r="J9">
        <v>6</v>
      </c>
      <c r="K9" s="83" t="s">
        <v>33</v>
      </c>
      <c r="L9" s="76" t="s">
        <v>33</v>
      </c>
      <c r="M9" s="76">
        <v>515.16999999999996</v>
      </c>
      <c r="N9" s="76">
        <v>574.29</v>
      </c>
      <c r="O9" s="76">
        <v>588.16999999999996</v>
      </c>
      <c r="P9" s="76">
        <v>695.68</v>
      </c>
      <c r="Q9" s="77">
        <v>746.78</v>
      </c>
      <c r="S9" s="30"/>
      <c r="T9" s="30"/>
      <c r="U9" s="30"/>
      <c r="V9" s="30"/>
      <c r="W9" s="30"/>
    </row>
    <row r="10" spans="1:23" ht="15" x14ac:dyDescent="0.3">
      <c r="A10">
        <v>7</v>
      </c>
      <c r="B10" s="75" t="s">
        <v>6</v>
      </c>
      <c r="C10" s="76" t="s">
        <v>33</v>
      </c>
      <c r="D10" s="76" t="s">
        <v>33</v>
      </c>
      <c r="E10" s="76">
        <v>5.5824999999999996</v>
      </c>
      <c r="F10" s="76">
        <v>6.2359999999999998</v>
      </c>
      <c r="G10" s="76">
        <v>6.8433999999999999</v>
      </c>
      <c r="H10" s="76">
        <v>7.2779999999999996</v>
      </c>
      <c r="I10" s="77">
        <v>7.9978999999999996</v>
      </c>
      <c r="J10">
        <v>7</v>
      </c>
      <c r="K10" s="83" t="s">
        <v>33</v>
      </c>
      <c r="L10" s="76" t="s">
        <v>33</v>
      </c>
      <c r="M10" s="76">
        <v>665.87</v>
      </c>
      <c r="N10" s="76">
        <v>724.99</v>
      </c>
      <c r="O10" s="76">
        <v>738.86</v>
      </c>
      <c r="P10" s="76">
        <v>851.22</v>
      </c>
      <c r="Q10" s="77">
        <v>904.44</v>
      </c>
      <c r="S10" s="30"/>
      <c r="T10" s="30"/>
      <c r="U10" s="30"/>
      <c r="V10" s="30"/>
      <c r="W10" s="30"/>
    </row>
    <row r="11" spans="1:23" ht="15" x14ac:dyDescent="0.3">
      <c r="A11">
        <v>8</v>
      </c>
      <c r="B11" s="75" t="s">
        <v>7</v>
      </c>
      <c r="C11" s="76" t="s">
        <v>33</v>
      </c>
      <c r="D11" s="76" t="s">
        <v>33</v>
      </c>
      <c r="E11" s="76">
        <v>5.6260000000000003</v>
      </c>
      <c r="F11" s="76">
        <v>6.2796000000000003</v>
      </c>
      <c r="G11" s="76">
        <v>6.8869999999999996</v>
      </c>
      <c r="H11" s="76">
        <v>7.3216000000000001</v>
      </c>
      <c r="I11" s="77">
        <v>8.0414999999999992</v>
      </c>
      <c r="J11">
        <v>8</v>
      </c>
      <c r="K11" s="83" t="s">
        <v>33</v>
      </c>
      <c r="L11" s="76" t="s">
        <v>33</v>
      </c>
      <c r="M11" s="76">
        <v>677.85</v>
      </c>
      <c r="N11" s="76">
        <v>736.97</v>
      </c>
      <c r="O11" s="76">
        <v>750.84</v>
      </c>
      <c r="P11" s="76">
        <v>863.2</v>
      </c>
      <c r="Q11" s="77">
        <v>916.42</v>
      </c>
      <c r="S11" s="30"/>
      <c r="T11" s="30"/>
      <c r="U11" s="30"/>
      <c r="V11" s="30"/>
      <c r="W11" s="30"/>
    </row>
    <row r="12" spans="1:23" ht="15" x14ac:dyDescent="0.3">
      <c r="A12">
        <v>9</v>
      </c>
      <c r="B12" s="75" t="s">
        <v>35</v>
      </c>
      <c r="C12" s="76" t="s">
        <v>33</v>
      </c>
      <c r="D12" s="76" t="s">
        <v>33</v>
      </c>
      <c r="E12" s="76">
        <v>6.2275999999999998</v>
      </c>
      <c r="F12" s="76">
        <v>6.9710000000000001</v>
      </c>
      <c r="G12" s="76">
        <v>7.6803999999999997</v>
      </c>
      <c r="H12" s="76">
        <v>8.1379999999999999</v>
      </c>
      <c r="I12" s="77">
        <v>8.9924999999999997</v>
      </c>
      <c r="J12">
        <v>9</v>
      </c>
      <c r="K12" s="83" t="s">
        <v>33</v>
      </c>
      <c r="L12" s="76" t="s">
        <v>33</v>
      </c>
      <c r="M12" s="76">
        <v>680.93</v>
      </c>
      <c r="N12" s="76">
        <v>740.05</v>
      </c>
      <c r="O12" s="76">
        <v>753.93</v>
      </c>
      <c r="P12" s="76">
        <v>872.59</v>
      </c>
      <c r="Q12" s="77">
        <v>928.56</v>
      </c>
      <c r="S12" s="30"/>
      <c r="T12" s="30"/>
      <c r="U12" s="30"/>
      <c r="V12" s="30"/>
      <c r="W12" s="30"/>
    </row>
    <row r="13" spans="1:23" ht="15" x14ac:dyDescent="0.3">
      <c r="A13">
        <v>10</v>
      </c>
      <c r="B13" s="75" t="s">
        <v>8</v>
      </c>
      <c r="C13" s="76" t="s">
        <v>33</v>
      </c>
      <c r="D13" s="76" t="s">
        <v>33</v>
      </c>
      <c r="E13" s="76">
        <v>5.2004000000000001</v>
      </c>
      <c r="F13" s="76">
        <v>5.8540000000000001</v>
      </c>
      <c r="G13" s="76">
        <v>6.4612999999999996</v>
      </c>
      <c r="H13" s="76">
        <v>6.8959999999999999</v>
      </c>
      <c r="I13" s="77">
        <v>7.6158000000000001</v>
      </c>
      <c r="J13">
        <v>10</v>
      </c>
      <c r="K13" s="83" t="s">
        <v>33</v>
      </c>
      <c r="L13" s="76" t="s">
        <v>33</v>
      </c>
      <c r="M13" s="76">
        <v>617.35</v>
      </c>
      <c r="N13" s="76">
        <v>676.48</v>
      </c>
      <c r="O13" s="76">
        <v>690.35</v>
      </c>
      <c r="P13" s="76">
        <v>802.71</v>
      </c>
      <c r="Q13" s="77">
        <v>855.93</v>
      </c>
      <c r="S13" s="30"/>
      <c r="T13" s="30"/>
      <c r="U13" s="30"/>
      <c r="V13" s="30"/>
      <c r="W13" s="30"/>
    </row>
    <row r="14" spans="1:23" ht="15" x14ac:dyDescent="0.3">
      <c r="A14">
        <v>11</v>
      </c>
      <c r="B14" s="75" t="s">
        <v>9</v>
      </c>
      <c r="C14" s="76" t="s">
        <v>33</v>
      </c>
      <c r="D14" s="76" t="s">
        <v>33</v>
      </c>
      <c r="E14" s="76">
        <v>5.2004000000000001</v>
      </c>
      <c r="F14" s="76">
        <v>5.8540000000000001</v>
      </c>
      <c r="G14" s="76">
        <v>6.4612999999999996</v>
      </c>
      <c r="H14" s="76">
        <v>6.8959999999999999</v>
      </c>
      <c r="I14" s="77">
        <v>7.6158000000000001</v>
      </c>
      <c r="J14">
        <v>11</v>
      </c>
      <c r="K14" s="83" t="s">
        <v>33</v>
      </c>
      <c r="L14" s="76" t="s">
        <v>33</v>
      </c>
      <c r="M14" s="76">
        <v>617.35</v>
      </c>
      <c r="N14" s="76">
        <v>676.48</v>
      </c>
      <c r="O14" s="76">
        <v>690.35</v>
      </c>
      <c r="P14" s="76">
        <v>802.71</v>
      </c>
      <c r="Q14" s="77">
        <v>855.93</v>
      </c>
      <c r="S14" s="30"/>
      <c r="T14" s="30"/>
      <c r="U14" s="30"/>
      <c r="V14" s="30"/>
      <c r="W14" s="30"/>
    </row>
    <row r="15" spans="1:23" ht="15.6" thickBot="1" x14ac:dyDescent="0.35">
      <c r="A15">
        <v>12</v>
      </c>
      <c r="B15" s="78" t="s">
        <v>11</v>
      </c>
      <c r="C15" s="79" t="s">
        <v>33</v>
      </c>
      <c r="D15" s="79" t="s">
        <v>33</v>
      </c>
      <c r="E15" s="79" t="s">
        <v>33</v>
      </c>
      <c r="F15" s="79">
        <v>5.4473000000000003</v>
      </c>
      <c r="G15" s="79">
        <v>6.0545999999999998</v>
      </c>
      <c r="H15" s="79" t="s">
        <v>33</v>
      </c>
      <c r="I15" s="80">
        <v>7.1837999999999997</v>
      </c>
      <c r="J15" s="87">
        <v>12</v>
      </c>
      <c r="K15" s="84" t="s">
        <v>33</v>
      </c>
      <c r="L15" s="79" t="s">
        <v>33</v>
      </c>
      <c r="M15" s="79" t="s">
        <v>33</v>
      </c>
      <c r="N15" s="79">
        <v>574.29</v>
      </c>
      <c r="O15" s="79">
        <v>588.16999999999996</v>
      </c>
      <c r="P15" s="79" t="s">
        <v>33</v>
      </c>
      <c r="Q15" s="80">
        <v>746.78</v>
      </c>
      <c r="S15" s="30"/>
      <c r="T15" s="30"/>
      <c r="U15" s="31"/>
      <c r="V15" s="30"/>
    </row>
  </sheetData>
  <mergeCells count="4">
    <mergeCell ref="C2:I2"/>
    <mergeCell ref="K2:Q2"/>
    <mergeCell ref="B1:Q1"/>
    <mergeCell ref="B2:B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4CF9-73CF-4A87-B7BD-A2C75A8432DA}">
  <sheetPr codeName="Planilha4"/>
  <dimension ref="A1:X16"/>
  <sheetViews>
    <sheetView showGridLines="0" zoomScaleNormal="100" workbookViewId="0">
      <selection activeCell="A31" sqref="A31:H33"/>
    </sheetView>
  </sheetViews>
  <sheetFormatPr defaultColWidth="9.109375" defaultRowHeight="15.6" x14ac:dyDescent="0.3"/>
  <cols>
    <col min="1" max="1" width="3.88671875" style="3" bestFit="1" customWidth="1"/>
    <col min="2" max="2" width="35" style="3" bestFit="1" customWidth="1"/>
    <col min="3" max="9" width="9.33203125" style="3" bestFit="1" customWidth="1"/>
    <col min="10" max="10" width="3.44140625" style="3" customWidth="1"/>
    <col min="11" max="17" width="9.33203125" style="3" bestFit="1" customWidth="1"/>
    <col min="18" max="16384" width="9.109375" style="3"/>
  </cols>
  <sheetData>
    <row r="1" spans="1:24" ht="24" thickBot="1" x14ac:dyDescent="0.35">
      <c r="B1" s="137" t="str">
        <f>'Tabela B'!B1</f>
        <v>RESOLUÇÃO Nº 6.076, DE 19 DE JANEIRO DE 2026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9"/>
    </row>
    <row r="2" spans="1:24" x14ac:dyDescent="0.3">
      <c r="B2" s="140" t="s">
        <v>0</v>
      </c>
      <c r="C2" s="132" t="s">
        <v>13</v>
      </c>
      <c r="D2" s="132"/>
      <c r="E2" s="132"/>
      <c r="F2" s="132"/>
      <c r="G2" s="132"/>
      <c r="H2" s="132"/>
      <c r="I2" s="133"/>
      <c r="J2" s="13"/>
      <c r="K2" s="134" t="s">
        <v>12</v>
      </c>
      <c r="L2" s="135"/>
      <c r="M2" s="135"/>
      <c r="N2" s="135"/>
      <c r="O2" s="135"/>
      <c r="P2" s="135"/>
      <c r="Q2" s="136"/>
    </row>
    <row r="3" spans="1:24" ht="32.25" customHeight="1" x14ac:dyDescent="0.3">
      <c r="B3" s="141"/>
      <c r="C3" s="59">
        <v>2</v>
      </c>
      <c r="D3" s="59">
        <v>3</v>
      </c>
      <c r="E3" s="59">
        <v>4</v>
      </c>
      <c r="F3" s="59">
        <v>5</v>
      </c>
      <c r="G3" s="59">
        <v>6</v>
      </c>
      <c r="H3" s="59">
        <v>7</v>
      </c>
      <c r="I3" s="60">
        <v>9</v>
      </c>
      <c r="J3" s="4"/>
      <c r="K3" s="61">
        <v>2</v>
      </c>
      <c r="L3" s="59">
        <v>3</v>
      </c>
      <c r="M3" s="59">
        <v>4</v>
      </c>
      <c r="N3" s="59">
        <v>5</v>
      </c>
      <c r="O3" s="59">
        <v>6</v>
      </c>
      <c r="P3" s="59">
        <v>7</v>
      </c>
      <c r="Q3" s="60">
        <v>9</v>
      </c>
    </row>
    <row r="4" spans="1:24" x14ac:dyDescent="0.3">
      <c r="A4" s="3">
        <v>1</v>
      </c>
      <c r="B4" s="47" t="s">
        <v>1</v>
      </c>
      <c r="C4" s="48">
        <v>3.1154000000000002</v>
      </c>
      <c r="D4" s="48">
        <v>3.9624000000000001</v>
      </c>
      <c r="E4" s="48">
        <v>4.5292000000000003</v>
      </c>
      <c r="F4" s="48">
        <v>5.1951999999999998</v>
      </c>
      <c r="G4" s="48">
        <v>5.7808999999999999</v>
      </c>
      <c r="H4" s="48">
        <v>6.1520000000000001</v>
      </c>
      <c r="I4" s="49">
        <v>7.0505000000000004</v>
      </c>
      <c r="J4" s="4">
        <v>1</v>
      </c>
      <c r="K4" s="50">
        <v>168.42</v>
      </c>
      <c r="L4" s="48">
        <v>191.28</v>
      </c>
      <c r="M4" s="48">
        <v>207.68</v>
      </c>
      <c r="N4" s="48">
        <v>221.79</v>
      </c>
      <c r="O4" s="48">
        <v>224.95</v>
      </c>
      <c r="P4" s="48">
        <v>261.12</v>
      </c>
      <c r="Q4" s="49">
        <v>282.58999999999997</v>
      </c>
      <c r="R4" s="43"/>
      <c r="S4" s="30"/>
      <c r="T4" s="30"/>
      <c r="U4" s="30"/>
      <c r="V4" s="30"/>
      <c r="W4" s="30"/>
      <c r="X4" s="30"/>
    </row>
    <row r="5" spans="1:24" x14ac:dyDescent="0.3">
      <c r="A5" s="3">
        <v>2</v>
      </c>
      <c r="B5" s="47" t="s">
        <v>2</v>
      </c>
      <c r="C5" s="48">
        <v>3.1612</v>
      </c>
      <c r="D5" s="48">
        <v>4.0157999999999996</v>
      </c>
      <c r="E5" s="48">
        <v>4.6230000000000002</v>
      </c>
      <c r="F5" s="48">
        <v>5.2937000000000003</v>
      </c>
      <c r="G5" s="48">
        <v>5.8813000000000004</v>
      </c>
      <c r="H5" s="48">
        <v>6.2403000000000004</v>
      </c>
      <c r="I5" s="49">
        <v>7.1459999999999999</v>
      </c>
      <c r="J5" s="4">
        <v>2</v>
      </c>
      <c r="K5" s="50">
        <v>170.79</v>
      </c>
      <c r="L5" s="48">
        <v>194.88</v>
      </c>
      <c r="M5" s="48">
        <v>212.78</v>
      </c>
      <c r="N5" s="48">
        <v>227.67</v>
      </c>
      <c r="O5" s="48">
        <v>231.13</v>
      </c>
      <c r="P5" s="48">
        <v>265.31</v>
      </c>
      <c r="Q5" s="49">
        <v>287.97000000000003</v>
      </c>
      <c r="R5" s="43"/>
      <c r="S5" s="30"/>
      <c r="T5" s="30"/>
      <c r="U5" s="30"/>
      <c r="V5" s="30"/>
      <c r="W5" s="30"/>
      <c r="X5" s="30"/>
    </row>
    <row r="6" spans="1:24" x14ac:dyDescent="0.3">
      <c r="A6" s="3">
        <v>3</v>
      </c>
      <c r="B6" s="47" t="s">
        <v>34</v>
      </c>
      <c r="C6" s="48">
        <v>3.7195999999999998</v>
      </c>
      <c r="D6" s="48">
        <v>4.7134999999999998</v>
      </c>
      <c r="E6" s="48">
        <v>5.4104999999999999</v>
      </c>
      <c r="F6" s="48">
        <v>6.1708999999999996</v>
      </c>
      <c r="G6" s="48">
        <v>6.8574999999999999</v>
      </c>
      <c r="H6" s="48">
        <v>7.3296000000000001</v>
      </c>
      <c r="I6" s="49">
        <v>8.3530999999999995</v>
      </c>
      <c r="J6" s="4">
        <v>3</v>
      </c>
      <c r="K6" s="50">
        <v>198.62</v>
      </c>
      <c r="L6" s="48">
        <v>225.01</v>
      </c>
      <c r="M6" s="48">
        <v>247.41</v>
      </c>
      <c r="N6" s="48">
        <v>262.25</v>
      </c>
      <c r="O6" s="48">
        <v>265.24</v>
      </c>
      <c r="P6" s="48">
        <v>318.08</v>
      </c>
      <c r="Q6" s="49">
        <v>339.58</v>
      </c>
      <c r="R6" s="43"/>
      <c r="S6" s="30"/>
      <c r="T6" s="30"/>
      <c r="U6" s="30"/>
      <c r="V6" s="30"/>
      <c r="W6" s="30"/>
      <c r="X6" s="30"/>
    </row>
    <row r="7" spans="1:24" x14ac:dyDescent="0.3">
      <c r="A7" s="3">
        <v>4</v>
      </c>
      <c r="B7" s="47" t="s">
        <v>3</v>
      </c>
      <c r="C7" s="48" t="s">
        <v>33</v>
      </c>
      <c r="D7" s="48">
        <v>3.9529999999999998</v>
      </c>
      <c r="E7" s="48">
        <v>4.5041000000000002</v>
      </c>
      <c r="F7" s="48">
        <v>5.1730999999999998</v>
      </c>
      <c r="G7" s="48">
        <v>5.7582000000000004</v>
      </c>
      <c r="H7" s="48">
        <v>6.1510999999999996</v>
      </c>
      <c r="I7" s="49">
        <v>7.0217000000000001</v>
      </c>
      <c r="J7" s="4">
        <v>4</v>
      </c>
      <c r="K7" s="50" t="s">
        <v>33</v>
      </c>
      <c r="L7" s="48">
        <v>189.72</v>
      </c>
      <c r="M7" s="48">
        <v>203.55</v>
      </c>
      <c r="N7" s="48">
        <v>218.14</v>
      </c>
      <c r="O7" s="48">
        <v>221.21</v>
      </c>
      <c r="P7" s="48">
        <v>260.98</v>
      </c>
      <c r="Q7" s="49">
        <v>277.83</v>
      </c>
      <c r="R7" s="43"/>
      <c r="S7" s="30"/>
      <c r="T7" s="30"/>
      <c r="U7" s="30"/>
      <c r="V7" s="30"/>
      <c r="W7" s="30"/>
    </row>
    <row r="8" spans="1:24" x14ac:dyDescent="0.3">
      <c r="A8" s="3">
        <v>5</v>
      </c>
      <c r="B8" s="51" t="s">
        <v>4</v>
      </c>
      <c r="C8" s="52">
        <v>3.1044</v>
      </c>
      <c r="D8" s="52">
        <v>3.9493</v>
      </c>
      <c r="E8" s="52">
        <v>4.5189000000000004</v>
      </c>
      <c r="F8" s="52">
        <v>5.1859999999999999</v>
      </c>
      <c r="G8" s="52">
        <v>5.7706999999999997</v>
      </c>
      <c r="H8" s="52">
        <v>6.1661999999999999</v>
      </c>
      <c r="I8" s="53">
        <v>7.0434999999999999</v>
      </c>
      <c r="J8" s="4">
        <v>5</v>
      </c>
      <c r="K8" s="54">
        <v>166.6</v>
      </c>
      <c r="L8" s="52">
        <v>189.11</v>
      </c>
      <c r="M8" s="52">
        <v>205.98</v>
      </c>
      <c r="N8" s="52">
        <v>220.28</v>
      </c>
      <c r="O8" s="52">
        <v>223.27</v>
      </c>
      <c r="P8" s="52">
        <v>263.47000000000003</v>
      </c>
      <c r="Q8" s="53">
        <v>281.43</v>
      </c>
      <c r="R8" s="43"/>
      <c r="S8" s="30"/>
      <c r="T8" s="30"/>
      <c r="U8" s="30"/>
      <c r="V8" s="30"/>
      <c r="W8" s="30"/>
      <c r="X8" s="30"/>
    </row>
    <row r="9" spans="1:24" x14ac:dyDescent="0.3">
      <c r="A9" s="3">
        <v>6</v>
      </c>
      <c r="B9" s="47" t="s">
        <v>5</v>
      </c>
      <c r="C9" s="48">
        <v>2.7717000000000001</v>
      </c>
      <c r="D9" s="48">
        <v>3.9487999999999999</v>
      </c>
      <c r="E9" s="48">
        <v>4.5282999999999998</v>
      </c>
      <c r="F9" s="48">
        <v>5.1859999999999999</v>
      </c>
      <c r="G9" s="48">
        <v>5.7706999999999997</v>
      </c>
      <c r="H9" s="48">
        <v>6.1661999999999999</v>
      </c>
      <c r="I9" s="49">
        <v>7.0434999999999999</v>
      </c>
      <c r="J9" s="4">
        <v>6</v>
      </c>
      <c r="K9" s="50">
        <v>166.6</v>
      </c>
      <c r="L9" s="48">
        <v>189.03</v>
      </c>
      <c r="M9" s="48">
        <v>207.54</v>
      </c>
      <c r="N9" s="48">
        <v>220.28</v>
      </c>
      <c r="O9" s="48">
        <v>223.27</v>
      </c>
      <c r="P9" s="48">
        <v>263.47000000000003</v>
      </c>
      <c r="Q9" s="49">
        <v>281.43</v>
      </c>
      <c r="R9" s="43"/>
      <c r="S9" s="30"/>
      <c r="T9" s="30"/>
      <c r="U9" s="30"/>
      <c r="V9" s="30"/>
      <c r="W9" s="30"/>
      <c r="X9" s="30"/>
    </row>
    <row r="10" spans="1:24" x14ac:dyDescent="0.3">
      <c r="A10" s="3">
        <v>7</v>
      </c>
      <c r="B10" s="47" t="s">
        <v>6</v>
      </c>
      <c r="C10" s="48">
        <v>3.6335000000000002</v>
      </c>
      <c r="D10" s="48">
        <v>4.4908999999999999</v>
      </c>
      <c r="E10" s="48">
        <v>5.0945</v>
      </c>
      <c r="F10" s="48">
        <v>5.7605000000000004</v>
      </c>
      <c r="G10" s="48">
        <v>6.3461999999999996</v>
      </c>
      <c r="H10" s="48">
        <v>6.7363</v>
      </c>
      <c r="I10" s="49">
        <v>7.6430999999999996</v>
      </c>
      <c r="J10" s="4">
        <v>7</v>
      </c>
      <c r="K10" s="50">
        <v>217.08</v>
      </c>
      <c r="L10" s="48">
        <v>241.63</v>
      </c>
      <c r="M10" s="48">
        <v>261.22000000000003</v>
      </c>
      <c r="N10" s="48">
        <v>275.33999999999997</v>
      </c>
      <c r="O10" s="48">
        <v>278.5</v>
      </c>
      <c r="P10" s="48">
        <v>317.8</v>
      </c>
      <c r="Q10" s="49">
        <v>340.64</v>
      </c>
      <c r="R10" s="43"/>
      <c r="S10" s="30"/>
      <c r="T10" s="30"/>
      <c r="U10" s="30"/>
      <c r="V10" s="30"/>
      <c r="W10" s="30"/>
      <c r="X10" s="30"/>
    </row>
    <row r="11" spans="1:24" x14ac:dyDescent="0.3">
      <c r="A11" s="3">
        <v>8</v>
      </c>
      <c r="B11" s="47" t="s">
        <v>7</v>
      </c>
      <c r="C11" s="48">
        <v>3.6635</v>
      </c>
      <c r="D11" s="48">
        <v>4.5284000000000004</v>
      </c>
      <c r="E11" s="48">
        <v>5.1410999999999998</v>
      </c>
      <c r="F11" s="48">
        <v>5.8117999999999999</v>
      </c>
      <c r="G11" s="48">
        <v>6.3993000000000002</v>
      </c>
      <c r="H11" s="48">
        <v>6.7773000000000003</v>
      </c>
      <c r="I11" s="49">
        <v>7.6913999999999998</v>
      </c>
      <c r="J11" s="4">
        <v>8</v>
      </c>
      <c r="K11" s="50">
        <v>222.03</v>
      </c>
      <c r="L11" s="48">
        <v>247.82</v>
      </c>
      <c r="M11" s="48">
        <v>268.91000000000003</v>
      </c>
      <c r="N11" s="48">
        <v>283.8</v>
      </c>
      <c r="O11" s="48">
        <v>287.26</v>
      </c>
      <c r="P11" s="48">
        <v>324.57</v>
      </c>
      <c r="Q11" s="49">
        <v>348.6</v>
      </c>
      <c r="R11" s="43"/>
      <c r="S11" s="30"/>
      <c r="T11" s="30"/>
      <c r="U11" s="30"/>
      <c r="V11" s="30"/>
      <c r="W11" s="30"/>
      <c r="X11" s="30"/>
    </row>
    <row r="12" spans="1:24" x14ac:dyDescent="0.3">
      <c r="A12" s="3">
        <v>9</v>
      </c>
      <c r="B12" s="47" t="s">
        <v>35</v>
      </c>
      <c r="C12" s="48">
        <v>4.1978</v>
      </c>
      <c r="D12" s="48">
        <v>5.2050999999999998</v>
      </c>
      <c r="E12" s="48">
        <v>5.9198000000000004</v>
      </c>
      <c r="F12" s="48">
        <v>6.6801000000000004</v>
      </c>
      <c r="G12" s="48">
        <v>7.3667999999999996</v>
      </c>
      <c r="H12" s="48">
        <v>7.8635999999999999</v>
      </c>
      <c r="I12" s="49">
        <v>8.8978000000000002</v>
      </c>
      <c r="J12" s="4">
        <v>9</v>
      </c>
      <c r="K12" s="50">
        <v>244.84</v>
      </c>
      <c r="L12" s="48">
        <v>273.44</v>
      </c>
      <c r="M12" s="48">
        <v>299.98</v>
      </c>
      <c r="N12" s="48">
        <v>314.83</v>
      </c>
      <c r="O12" s="48">
        <v>317.82</v>
      </c>
      <c r="P12" s="48">
        <v>374.73</v>
      </c>
      <c r="Q12" s="49">
        <v>398.01</v>
      </c>
      <c r="R12" s="43"/>
      <c r="S12" s="30"/>
      <c r="T12" s="30"/>
      <c r="U12" s="30"/>
      <c r="V12" s="30"/>
      <c r="W12" s="30"/>
      <c r="X12" s="30"/>
    </row>
    <row r="13" spans="1:24" x14ac:dyDescent="0.3">
      <c r="A13" s="3">
        <v>10</v>
      </c>
      <c r="B13" s="47" t="s">
        <v>8</v>
      </c>
      <c r="C13" s="48" t="s">
        <v>33</v>
      </c>
      <c r="D13" s="48">
        <v>4.2123999999999997</v>
      </c>
      <c r="E13" s="48">
        <v>4.8005000000000004</v>
      </c>
      <c r="F13" s="48">
        <v>5.4694000000000003</v>
      </c>
      <c r="G13" s="48">
        <v>6.0545</v>
      </c>
      <c r="H13" s="48">
        <v>6.4664000000000001</v>
      </c>
      <c r="I13" s="49">
        <v>7.3452999999999999</v>
      </c>
      <c r="J13" s="4">
        <v>10</v>
      </c>
      <c r="K13" s="50" t="s">
        <v>33</v>
      </c>
      <c r="L13" s="48">
        <v>229.62</v>
      </c>
      <c r="M13" s="48">
        <v>246.64</v>
      </c>
      <c r="N13" s="48">
        <v>261.24</v>
      </c>
      <c r="O13" s="48">
        <v>264.3</v>
      </c>
      <c r="P13" s="48">
        <v>307.20999999999998</v>
      </c>
      <c r="Q13" s="49">
        <v>325.43</v>
      </c>
      <c r="R13" s="43"/>
      <c r="S13" s="30"/>
      <c r="T13" s="30"/>
      <c r="U13" s="30"/>
      <c r="V13" s="30"/>
      <c r="W13" s="30"/>
    </row>
    <row r="14" spans="1:24" x14ac:dyDescent="0.3">
      <c r="A14" s="3">
        <v>11</v>
      </c>
      <c r="B14" s="47" t="s">
        <v>9</v>
      </c>
      <c r="C14" s="48">
        <v>3.3534999999999999</v>
      </c>
      <c r="D14" s="48">
        <v>4.2088000000000001</v>
      </c>
      <c r="E14" s="48">
        <v>4.8151999999999999</v>
      </c>
      <c r="F14" s="48">
        <v>5.4824000000000002</v>
      </c>
      <c r="G14" s="48">
        <v>6.0670000000000002</v>
      </c>
      <c r="H14" s="48">
        <v>6.4814999999999996</v>
      </c>
      <c r="I14" s="49">
        <v>7.3670999999999998</v>
      </c>
      <c r="J14" s="4">
        <v>11</v>
      </c>
      <c r="K14" s="50">
        <v>204.81</v>
      </c>
      <c r="L14" s="48">
        <v>229.02</v>
      </c>
      <c r="M14" s="48">
        <v>249.08</v>
      </c>
      <c r="N14" s="48">
        <v>263.37</v>
      </c>
      <c r="O14" s="48">
        <v>266.36</v>
      </c>
      <c r="P14" s="48">
        <v>309.7</v>
      </c>
      <c r="Q14" s="49">
        <v>329.02</v>
      </c>
      <c r="R14" s="43"/>
      <c r="S14" s="30"/>
      <c r="T14" s="30"/>
      <c r="U14" s="30"/>
      <c r="V14" s="30"/>
      <c r="W14" s="30"/>
      <c r="X14" s="30"/>
    </row>
    <row r="15" spans="1:24" ht="16.2" thickBot="1" x14ac:dyDescent="0.35">
      <c r="A15" s="3">
        <v>12</v>
      </c>
      <c r="B15" s="55" t="s">
        <v>11</v>
      </c>
      <c r="C15" s="56" t="s">
        <v>33</v>
      </c>
      <c r="D15" s="56" t="s">
        <v>33</v>
      </c>
      <c r="E15" s="56" t="s">
        <v>33</v>
      </c>
      <c r="F15" s="56">
        <v>5.3125</v>
      </c>
      <c r="G15" s="56">
        <v>5.9131</v>
      </c>
      <c r="H15" s="56" t="s">
        <v>33</v>
      </c>
      <c r="I15" s="57">
        <v>7.2313000000000001</v>
      </c>
      <c r="J15" s="4">
        <v>12</v>
      </c>
      <c r="K15" s="58" t="s">
        <v>33</v>
      </c>
      <c r="L15" s="56" t="s">
        <v>33</v>
      </c>
      <c r="M15" s="56" t="s">
        <v>33</v>
      </c>
      <c r="N15" s="56">
        <v>241.14</v>
      </c>
      <c r="O15" s="56">
        <v>246.76</v>
      </c>
      <c r="P15" s="56" t="s">
        <v>33</v>
      </c>
      <c r="Q15" s="57">
        <v>312.42</v>
      </c>
      <c r="R15" s="43"/>
      <c r="S15" s="30"/>
      <c r="T15" s="31"/>
      <c r="U15" s="30"/>
    </row>
    <row r="16" spans="1:24" x14ac:dyDescent="0.3">
      <c r="B16" s="4"/>
      <c r="C16" s="4"/>
      <c r="D16" s="4"/>
      <c r="E16" s="4"/>
      <c r="F16" s="4"/>
    </row>
  </sheetData>
  <mergeCells count="4">
    <mergeCell ref="C2:I2"/>
    <mergeCell ref="K2:Q2"/>
    <mergeCell ref="B1:Q1"/>
    <mergeCell ref="B2:B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4C0D-ABF3-4F92-9BD1-DFA7F0FF60BB}">
  <sheetPr codeName="Planilha5"/>
  <dimension ref="A1:V15"/>
  <sheetViews>
    <sheetView showGridLines="0" workbookViewId="0">
      <selection activeCell="A31" sqref="A31:H33"/>
    </sheetView>
  </sheetViews>
  <sheetFormatPr defaultColWidth="9.109375" defaultRowHeight="15.6" x14ac:dyDescent="0.3"/>
  <cols>
    <col min="1" max="1" width="3.88671875" style="62" bestFit="1" customWidth="1"/>
    <col min="2" max="2" width="35" style="62" bestFit="1" customWidth="1"/>
    <col min="3" max="9" width="9.33203125" style="62" bestFit="1" customWidth="1"/>
    <col min="10" max="10" width="10.6640625" style="62" customWidth="1"/>
    <col min="11" max="17" width="9.33203125" style="62" bestFit="1" customWidth="1"/>
    <col min="18" max="16384" width="9.109375" style="62"/>
  </cols>
  <sheetData>
    <row r="1" spans="1:22" ht="24" thickBot="1" x14ac:dyDescent="0.35">
      <c r="B1" s="137" t="str">
        <f>'Tabela C'!B1</f>
        <v>RESOLUÇÃO Nº 6.076, DE 19 DE JANEIRO DE 2026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9"/>
    </row>
    <row r="2" spans="1:22" x14ac:dyDescent="0.3">
      <c r="B2" s="145" t="s">
        <v>0</v>
      </c>
      <c r="C2" s="142" t="s">
        <v>13</v>
      </c>
      <c r="D2" s="142"/>
      <c r="E2" s="142"/>
      <c r="F2" s="142"/>
      <c r="G2" s="142"/>
      <c r="H2" s="142"/>
      <c r="I2" s="143"/>
      <c r="K2" s="144" t="s">
        <v>12</v>
      </c>
      <c r="L2" s="142"/>
      <c r="M2" s="142"/>
      <c r="N2" s="142"/>
      <c r="O2" s="142"/>
      <c r="P2" s="142"/>
      <c r="Q2" s="143"/>
    </row>
    <row r="3" spans="1:22" x14ac:dyDescent="0.3">
      <c r="B3" s="146"/>
      <c r="C3" s="63">
        <v>2</v>
      </c>
      <c r="D3" s="63">
        <v>3</v>
      </c>
      <c r="E3" s="63">
        <v>4</v>
      </c>
      <c r="F3" s="63">
        <v>5</v>
      </c>
      <c r="G3" s="63">
        <v>6</v>
      </c>
      <c r="H3" s="63">
        <v>7</v>
      </c>
      <c r="I3" s="64">
        <v>9</v>
      </c>
      <c r="K3" s="69">
        <v>2</v>
      </c>
      <c r="L3" s="63">
        <v>3</v>
      </c>
      <c r="M3" s="63">
        <v>4</v>
      </c>
      <c r="N3" s="63">
        <v>5</v>
      </c>
      <c r="O3" s="63">
        <v>6</v>
      </c>
      <c r="P3" s="63">
        <v>7</v>
      </c>
      <c r="Q3" s="64">
        <v>9</v>
      </c>
    </row>
    <row r="4" spans="1:22" x14ac:dyDescent="0.3">
      <c r="A4" s="62">
        <v>1</v>
      </c>
      <c r="B4" s="65" t="s">
        <v>1</v>
      </c>
      <c r="C4" s="63" t="s">
        <v>33</v>
      </c>
      <c r="D4" s="63" t="s">
        <v>33</v>
      </c>
      <c r="E4" s="63">
        <v>4.0987999999999998</v>
      </c>
      <c r="F4" s="63">
        <v>4.6146000000000003</v>
      </c>
      <c r="G4" s="63">
        <v>5.1896000000000004</v>
      </c>
      <c r="H4" s="63">
        <v>5.3982000000000001</v>
      </c>
      <c r="I4" s="64">
        <v>6.0096999999999996</v>
      </c>
      <c r="J4" s="62">
        <v>1</v>
      </c>
      <c r="K4" s="71" t="s">
        <v>33</v>
      </c>
      <c r="L4" s="72" t="s">
        <v>33</v>
      </c>
      <c r="M4" s="63">
        <v>194.44</v>
      </c>
      <c r="N4" s="63">
        <v>207.18</v>
      </c>
      <c r="O4" s="63">
        <v>210.17</v>
      </c>
      <c r="P4" s="63">
        <v>240.3</v>
      </c>
      <c r="Q4" s="64">
        <v>254.35</v>
      </c>
      <c r="R4" s="43"/>
      <c r="S4" s="30"/>
      <c r="T4" s="30"/>
      <c r="U4" s="30"/>
      <c r="V4" s="30"/>
    </row>
    <row r="5" spans="1:22" x14ac:dyDescent="0.3">
      <c r="A5" s="62">
        <v>2</v>
      </c>
      <c r="B5" s="65" t="s">
        <v>2</v>
      </c>
      <c r="C5" s="63" t="s">
        <v>33</v>
      </c>
      <c r="D5" s="63" t="s">
        <v>33</v>
      </c>
      <c r="E5" s="63">
        <v>4.1616999999999997</v>
      </c>
      <c r="F5" s="63">
        <v>4.6775000000000002</v>
      </c>
      <c r="G5" s="63">
        <v>5.2525000000000004</v>
      </c>
      <c r="H5" s="63">
        <v>5.4611000000000001</v>
      </c>
      <c r="I5" s="64">
        <v>6.0726000000000004</v>
      </c>
      <c r="J5" s="62">
        <v>2</v>
      </c>
      <c r="K5" s="71" t="s">
        <v>33</v>
      </c>
      <c r="L5" s="72" t="s">
        <v>33</v>
      </c>
      <c r="M5" s="63">
        <v>194.44</v>
      </c>
      <c r="N5" s="63">
        <v>207.18</v>
      </c>
      <c r="O5" s="63">
        <v>210.17</v>
      </c>
      <c r="P5" s="63">
        <v>240.3</v>
      </c>
      <c r="Q5" s="64">
        <v>254.35</v>
      </c>
      <c r="R5" s="43"/>
      <c r="S5" s="30"/>
      <c r="T5" s="30"/>
      <c r="U5" s="30"/>
      <c r="V5" s="30"/>
    </row>
    <row r="6" spans="1:22" x14ac:dyDescent="0.3">
      <c r="A6" s="62">
        <v>3</v>
      </c>
      <c r="B6" s="65" t="s">
        <v>34</v>
      </c>
      <c r="C6" s="63" t="s">
        <v>33</v>
      </c>
      <c r="D6" s="63" t="s">
        <v>33</v>
      </c>
      <c r="E6" s="63">
        <v>4.9309000000000003</v>
      </c>
      <c r="F6" s="63">
        <v>5.5366</v>
      </c>
      <c r="G6" s="63">
        <v>6.2135999999999996</v>
      </c>
      <c r="H6" s="63">
        <v>6.4413</v>
      </c>
      <c r="I6" s="64">
        <v>7.1858000000000004</v>
      </c>
      <c r="J6" s="62">
        <v>3</v>
      </c>
      <c r="K6" s="71" t="s">
        <v>33</v>
      </c>
      <c r="L6" s="72" t="s">
        <v>33</v>
      </c>
      <c r="M6" s="63">
        <v>226.06</v>
      </c>
      <c r="N6" s="63">
        <v>238.8</v>
      </c>
      <c r="O6" s="63">
        <v>241.78</v>
      </c>
      <c r="P6" s="63">
        <v>275.04000000000002</v>
      </c>
      <c r="Q6" s="64">
        <v>290.47000000000003</v>
      </c>
      <c r="R6" s="43"/>
      <c r="S6" s="30"/>
      <c r="T6" s="30"/>
      <c r="U6" s="30"/>
      <c r="V6" s="30"/>
    </row>
    <row r="7" spans="1:22" x14ac:dyDescent="0.3">
      <c r="A7" s="62">
        <v>4</v>
      </c>
      <c r="B7" s="65" t="s">
        <v>3</v>
      </c>
      <c r="C7" s="63" t="s">
        <v>33</v>
      </c>
      <c r="D7" s="63" t="s">
        <v>33</v>
      </c>
      <c r="E7" s="63">
        <v>4.0987999999999998</v>
      </c>
      <c r="F7" s="63">
        <v>4.6146000000000003</v>
      </c>
      <c r="G7" s="63">
        <v>5.1896000000000004</v>
      </c>
      <c r="H7" s="63">
        <v>5.3982000000000001</v>
      </c>
      <c r="I7" s="64">
        <v>6.0096999999999996</v>
      </c>
      <c r="J7" s="62">
        <v>4</v>
      </c>
      <c r="K7" s="71" t="s">
        <v>33</v>
      </c>
      <c r="L7" s="72" t="s">
        <v>33</v>
      </c>
      <c r="M7" s="63">
        <v>194.44</v>
      </c>
      <c r="N7" s="63">
        <v>207.18</v>
      </c>
      <c r="O7" s="63">
        <v>210.17</v>
      </c>
      <c r="P7" s="63">
        <v>240.3</v>
      </c>
      <c r="Q7" s="64">
        <v>254.35</v>
      </c>
      <c r="R7" s="43"/>
      <c r="S7" s="30"/>
      <c r="T7" s="30"/>
      <c r="U7" s="30"/>
      <c r="V7" s="30"/>
    </row>
    <row r="8" spans="1:22" x14ac:dyDescent="0.3">
      <c r="A8" s="62">
        <v>5</v>
      </c>
      <c r="B8" s="70" t="s">
        <v>4</v>
      </c>
      <c r="C8" s="59" t="s">
        <v>33</v>
      </c>
      <c r="D8" s="59" t="s">
        <v>33</v>
      </c>
      <c r="E8" s="59">
        <v>4.0987999999999998</v>
      </c>
      <c r="F8" s="59">
        <v>4.6146000000000003</v>
      </c>
      <c r="G8" s="59">
        <v>5.1896000000000004</v>
      </c>
      <c r="H8" s="59">
        <v>5.3982000000000001</v>
      </c>
      <c r="I8" s="60">
        <v>6.0096999999999996</v>
      </c>
      <c r="J8" s="62">
        <v>5</v>
      </c>
      <c r="K8" s="71" t="s">
        <v>33</v>
      </c>
      <c r="L8" s="72" t="s">
        <v>33</v>
      </c>
      <c r="M8" s="59">
        <v>194.44</v>
      </c>
      <c r="N8" s="59">
        <v>207.18</v>
      </c>
      <c r="O8" s="59">
        <v>210.17</v>
      </c>
      <c r="P8" s="59">
        <v>240.3</v>
      </c>
      <c r="Q8" s="60">
        <v>254.35</v>
      </c>
      <c r="R8" s="43"/>
      <c r="S8" s="30"/>
      <c r="T8" s="30"/>
      <c r="U8" s="30"/>
      <c r="V8" s="30"/>
    </row>
    <row r="9" spans="1:22" x14ac:dyDescent="0.3">
      <c r="A9" s="62">
        <v>6</v>
      </c>
      <c r="B9" s="65" t="s">
        <v>5</v>
      </c>
      <c r="C9" s="63" t="s">
        <v>33</v>
      </c>
      <c r="D9" s="63" t="s">
        <v>33</v>
      </c>
      <c r="E9" s="63">
        <v>4.0987999999999998</v>
      </c>
      <c r="F9" s="63">
        <v>4.6146000000000003</v>
      </c>
      <c r="G9" s="63">
        <v>5.1896000000000004</v>
      </c>
      <c r="H9" s="63">
        <v>5.3982000000000001</v>
      </c>
      <c r="I9" s="64">
        <v>6.0096999999999996</v>
      </c>
      <c r="J9" s="62">
        <v>6</v>
      </c>
      <c r="K9" s="71" t="s">
        <v>33</v>
      </c>
      <c r="L9" s="72" t="s">
        <v>33</v>
      </c>
      <c r="M9" s="63">
        <v>194.44</v>
      </c>
      <c r="N9" s="63">
        <v>207.18</v>
      </c>
      <c r="O9" s="63">
        <v>210.17</v>
      </c>
      <c r="P9" s="63">
        <v>240.3</v>
      </c>
      <c r="Q9" s="64">
        <v>254.35</v>
      </c>
      <c r="R9" s="43"/>
      <c r="S9" s="30"/>
      <c r="T9" s="30"/>
      <c r="U9" s="30"/>
      <c r="V9" s="30"/>
    </row>
    <row r="10" spans="1:22" x14ac:dyDescent="0.3">
      <c r="A10" s="62">
        <v>7</v>
      </c>
      <c r="B10" s="65" t="s">
        <v>6</v>
      </c>
      <c r="C10" s="63" t="s">
        <v>33</v>
      </c>
      <c r="D10" s="63" t="s">
        <v>33</v>
      </c>
      <c r="E10" s="63">
        <v>4.6641000000000004</v>
      </c>
      <c r="F10" s="63">
        <v>5.1798999999999999</v>
      </c>
      <c r="G10" s="63">
        <v>5.7549000000000001</v>
      </c>
      <c r="H10" s="63">
        <v>5.9825999999999997</v>
      </c>
      <c r="I10" s="64">
        <v>6.6022999999999996</v>
      </c>
      <c r="J10" s="62">
        <v>7</v>
      </c>
      <c r="K10" s="71" t="s">
        <v>33</v>
      </c>
      <c r="L10" s="72" t="s">
        <v>33</v>
      </c>
      <c r="M10" s="63">
        <v>247.99</v>
      </c>
      <c r="N10" s="63">
        <v>260.73</v>
      </c>
      <c r="O10" s="63">
        <v>263.72000000000003</v>
      </c>
      <c r="P10" s="63">
        <v>296.98</v>
      </c>
      <c r="Q10" s="64">
        <v>312.39999999999998</v>
      </c>
      <c r="R10" s="43"/>
      <c r="S10" s="30"/>
      <c r="T10" s="30"/>
      <c r="U10" s="30"/>
      <c r="V10" s="30"/>
    </row>
    <row r="11" spans="1:22" x14ac:dyDescent="0.3">
      <c r="A11" s="62">
        <v>8</v>
      </c>
      <c r="B11" s="65" t="s">
        <v>7</v>
      </c>
      <c r="C11" s="63" t="s">
        <v>33</v>
      </c>
      <c r="D11" s="63" t="s">
        <v>33</v>
      </c>
      <c r="E11" s="63">
        <v>4.6797000000000004</v>
      </c>
      <c r="F11" s="63">
        <v>5.1955</v>
      </c>
      <c r="G11" s="63">
        <v>5.7706</v>
      </c>
      <c r="H11" s="63">
        <v>5.9981999999999998</v>
      </c>
      <c r="I11" s="64">
        <v>6.6180000000000003</v>
      </c>
      <c r="J11" s="62">
        <v>8</v>
      </c>
      <c r="K11" s="71" t="s">
        <v>33</v>
      </c>
      <c r="L11" s="72" t="s">
        <v>33</v>
      </c>
      <c r="M11" s="63">
        <v>250.57</v>
      </c>
      <c r="N11" s="63">
        <v>263.31</v>
      </c>
      <c r="O11" s="63">
        <v>266.3</v>
      </c>
      <c r="P11" s="63">
        <v>299.56</v>
      </c>
      <c r="Q11" s="64">
        <v>314.98</v>
      </c>
      <c r="R11" s="43"/>
      <c r="S11" s="30"/>
      <c r="T11" s="30"/>
      <c r="U11" s="30"/>
      <c r="V11" s="30"/>
    </row>
    <row r="12" spans="1:22" x14ac:dyDescent="0.3">
      <c r="A12" s="62">
        <v>9</v>
      </c>
      <c r="B12" s="65" t="s">
        <v>35</v>
      </c>
      <c r="C12" s="63" t="s">
        <v>33</v>
      </c>
      <c r="D12" s="63" t="s">
        <v>33</v>
      </c>
      <c r="E12" s="63">
        <v>5.4401999999999999</v>
      </c>
      <c r="F12" s="63">
        <v>6.0457999999999998</v>
      </c>
      <c r="G12" s="63">
        <v>6.7229000000000001</v>
      </c>
      <c r="H12" s="63">
        <v>6.9752000000000001</v>
      </c>
      <c r="I12" s="64">
        <v>7.7305000000000001</v>
      </c>
      <c r="J12" s="62">
        <v>9</v>
      </c>
      <c r="K12" s="71" t="s">
        <v>33</v>
      </c>
      <c r="L12" s="72" t="s">
        <v>33</v>
      </c>
      <c r="M12" s="63">
        <v>278.63</v>
      </c>
      <c r="N12" s="63">
        <v>291.37</v>
      </c>
      <c r="O12" s="63">
        <v>294.36</v>
      </c>
      <c r="P12" s="63">
        <v>331.7</v>
      </c>
      <c r="Q12" s="64">
        <v>348.9</v>
      </c>
      <c r="R12" s="43"/>
      <c r="S12" s="30"/>
      <c r="T12" s="30"/>
      <c r="U12" s="30"/>
      <c r="V12" s="30"/>
    </row>
    <row r="13" spans="1:22" x14ac:dyDescent="0.3">
      <c r="A13" s="62">
        <v>10</v>
      </c>
      <c r="B13" s="65" t="s">
        <v>8</v>
      </c>
      <c r="C13" s="63" t="s">
        <v>33</v>
      </c>
      <c r="D13" s="63" t="s">
        <v>33</v>
      </c>
      <c r="E13" s="63">
        <v>4.3951000000000002</v>
      </c>
      <c r="F13" s="63">
        <v>4.9108999999999998</v>
      </c>
      <c r="G13" s="63">
        <v>5.4859</v>
      </c>
      <c r="H13" s="63">
        <v>5.7135999999999996</v>
      </c>
      <c r="I13" s="64">
        <v>6.3333000000000004</v>
      </c>
      <c r="J13" s="62">
        <v>10</v>
      </c>
      <c r="K13" s="71" t="s">
        <v>33</v>
      </c>
      <c r="L13" s="72" t="s">
        <v>33</v>
      </c>
      <c r="M13" s="63">
        <v>237.54</v>
      </c>
      <c r="N13" s="63">
        <v>250.28</v>
      </c>
      <c r="O13" s="63">
        <v>253.27</v>
      </c>
      <c r="P13" s="63">
        <v>286.52999999999997</v>
      </c>
      <c r="Q13" s="64">
        <v>301.95</v>
      </c>
      <c r="R13" s="43"/>
      <c r="S13" s="30"/>
      <c r="T13" s="30"/>
      <c r="U13" s="30"/>
      <c r="V13" s="30"/>
    </row>
    <row r="14" spans="1:22" x14ac:dyDescent="0.3">
      <c r="A14" s="62">
        <v>11</v>
      </c>
      <c r="B14" s="65" t="s">
        <v>9</v>
      </c>
      <c r="C14" s="63" t="s">
        <v>33</v>
      </c>
      <c r="D14" s="63" t="s">
        <v>33</v>
      </c>
      <c r="E14" s="63">
        <v>4.3951000000000002</v>
      </c>
      <c r="F14" s="63">
        <v>4.9108999999999998</v>
      </c>
      <c r="G14" s="63">
        <v>5.4859</v>
      </c>
      <c r="H14" s="63">
        <v>5.7135999999999996</v>
      </c>
      <c r="I14" s="64">
        <v>6.3333000000000004</v>
      </c>
      <c r="J14" s="62">
        <v>11</v>
      </c>
      <c r="K14" s="71" t="s">
        <v>33</v>
      </c>
      <c r="L14" s="72" t="s">
        <v>33</v>
      </c>
      <c r="M14" s="63">
        <v>237.54</v>
      </c>
      <c r="N14" s="63">
        <v>250.28</v>
      </c>
      <c r="O14" s="63">
        <v>253.27</v>
      </c>
      <c r="P14" s="63">
        <v>286.52999999999997</v>
      </c>
      <c r="Q14" s="64">
        <v>301.95</v>
      </c>
      <c r="R14" s="43"/>
      <c r="S14" s="30"/>
      <c r="T14" s="30"/>
      <c r="U14" s="30"/>
      <c r="V14" s="30"/>
    </row>
    <row r="15" spans="1:22" ht="16.2" thickBot="1" x14ac:dyDescent="0.35">
      <c r="A15" s="62">
        <v>12</v>
      </c>
      <c r="B15" s="66" t="s">
        <v>11</v>
      </c>
      <c r="C15" s="67" t="s">
        <v>33</v>
      </c>
      <c r="D15" s="67" t="s">
        <v>33</v>
      </c>
      <c r="E15" s="67" t="s">
        <v>33</v>
      </c>
      <c r="F15" s="67">
        <v>4.6146000000000003</v>
      </c>
      <c r="G15" s="67">
        <v>5.1896000000000004</v>
      </c>
      <c r="H15" s="67" t="s">
        <v>33</v>
      </c>
      <c r="I15" s="68">
        <v>6.0096999999999996</v>
      </c>
      <c r="J15" s="62">
        <v>12</v>
      </c>
      <c r="K15" s="73" t="s">
        <v>33</v>
      </c>
      <c r="L15" s="74" t="s">
        <v>33</v>
      </c>
      <c r="M15" s="74"/>
      <c r="N15" s="67">
        <v>207.18</v>
      </c>
      <c r="O15" s="67">
        <v>210.17</v>
      </c>
      <c r="P15" s="67"/>
      <c r="Q15" s="68">
        <v>254.35</v>
      </c>
      <c r="R15" s="43"/>
      <c r="S15" s="30"/>
      <c r="T15" s="31"/>
      <c r="U15" s="30"/>
    </row>
  </sheetData>
  <mergeCells count="4">
    <mergeCell ref="C2:I2"/>
    <mergeCell ref="K2:Q2"/>
    <mergeCell ref="B1:Q1"/>
    <mergeCell ref="B2:B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Painel</vt:lpstr>
      <vt:lpstr>Dados</vt:lpstr>
      <vt:lpstr>Tabela A</vt:lpstr>
      <vt:lpstr>Tabela B</vt:lpstr>
      <vt:lpstr>Tabela C</vt:lpstr>
      <vt:lpstr>Tabela D</vt:lpstr>
      <vt:lpstr>Painel!Area_de_impressao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Silva | NTC</dc:creator>
  <cp:lastModifiedBy>Marcelo Rosas</cp:lastModifiedBy>
  <cp:lastPrinted>2023-05-17T17:50:47Z</cp:lastPrinted>
  <dcterms:created xsi:type="dcterms:W3CDTF">2021-02-19T14:10:14Z</dcterms:created>
  <dcterms:modified xsi:type="dcterms:W3CDTF">2026-02-23T01:42:39Z</dcterms:modified>
</cp:coreProperties>
</file>